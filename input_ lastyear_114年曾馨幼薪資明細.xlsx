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1.xml" ContentType="application/vnd.openxmlformats-officedocument.spreadsheetml.comments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ivian\五棵松\薪資\salary batch run test\Cursor debug\"/>
    </mc:Choice>
  </mc:AlternateContent>
  <xr:revisionPtr revIDLastSave="0" documentId="8_{A56A509A-5E2E-4ADC-9D27-72FB6ACDAD73}" xr6:coauthVersionLast="47" xr6:coauthVersionMax="47" xr10:uidLastSave="{00000000-0000-0000-0000-000000000000}"/>
  <bookViews>
    <workbookView xWindow="774" yWindow="720" windowWidth="22266" windowHeight="13680" firstSheet="15" activeTab="18" xr2:uid="{FDA6B6D9-5312-4D43-A7F5-990B8A61DA1B}"/>
  </bookViews>
  <sheets>
    <sheet name="113年12月" sheetId="52" r:id="rId1"/>
    <sheet name="113年12月(2)" sheetId="53" r:id="rId2"/>
    <sheet name="114年1月" sheetId="54" r:id="rId3"/>
    <sheet name="114年2月" sheetId="55" r:id="rId4"/>
    <sheet name="114年3月" sheetId="56" r:id="rId5"/>
    <sheet name="114年3月(2)" sheetId="57" r:id="rId6"/>
    <sheet name="114年4月" sheetId="58" r:id="rId7"/>
    <sheet name="114年5月" sheetId="59" r:id="rId8"/>
    <sheet name="114年6月" sheetId="60" r:id="rId9"/>
    <sheet name="114年6月(2)" sheetId="61" r:id="rId10"/>
    <sheet name="114年7月" sheetId="62" r:id="rId11"/>
    <sheet name="114年8月" sheetId="63" r:id="rId12"/>
    <sheet name="114年9月" sheetId="64" r:id="rId13"/>
    <sheet name="114年9月(2)" sheetId="65" r:id="rId14"/>
    <sheet name="114年10月" sheetId="66" r:id="rId15"/>
    <sheet name="114年11月" sheetId="67" r:id="rId16"/>
    <sheet name="114年12月" sheetId="68" r:id="rId17"/>
    <sheet name="總表" sheetId="27" r:id="rId18"/>
    <sheet name="AA碼季獎金" sheetId="44" r:id="rId19"/>
    <sheet name="format" sheetId="32" r:id="rId20"/>
  </sheets>
  <externalReferences>
    <externalReference r:id="rId21"/>
  </externalReferences>
  <definedNames>
    <definedName name="__Anonymous_Sheet_DB__1" localSheetId="0">#REF!</definedName>
    <definedName name="__Anonymous_Sheet_DB__1" localSheetId="1">#REF!</definedName>
    <definedName name="__Anonymous_Sheet_DB__1" localSheetId="14">#REF!</definedName>
    <definedName name="__Anonymous_Sheet_DB__1" localSheetId="15">#REF!</definedName>
    <definedName name="__Anonymous_Sheet_DB__1" localSheetId="16">#REF!</definedName>
    <definedName name="__Anonymous_Sheet_DB__1" localSheetId="2">#REF!</definedName>
    <definedName name="__Anonymous_Sheet_DB__1" localSheetId="3">#REF!</definedName>
    <definedName name="__Anonymous_Sheet_DB__1" localSheetId="4">#REF!</definedName>
    <definedName name="__Anonymous_Sheet_DB__1" localSheetId="5">#REF!</definedName>
    <definedName name="__Anonymous_Sheet_DB__1" localSheetId="6">#REF!</definedName>
    <definedName name="__Anonymous_Sheet_DB__1" localSheetId="7">#REF!</definedName>
    <definedName name="__Anonymous_Sheet_DB__1" localSheetId="8">#REF!</definedName>
    <definedName name="__Anonymous_Sheet_DB__1" localSheetId="9">#REF!</definedName>
    <definedName name="__Anonymous_Sheet_DB__1" localSheetId="10">#REF!</definedName>
    <definedName name="__Anonymous_Sheet_DB__1" localSheetId="11">#REF!</definedName>
    <definedName name="__Anonymous_Sheet_DB__1" localSheetId="12">#REF!</definedName>
    <definedName name="__Anonymous_Sheet_DB__1" localSheetId="13">#REF!</definedName>
    <definedName name="__Anonymous_Sheet_DB__1" localSheetId="18">#REF!</definedName>
    <definedName name="__Anonymous_Sheet_DB__1" localSheetId="19">#REF!</definedName>
    <definedName name="__Anonymous_Sheet_DB__1" localSheetId="17">#REF!</definedName>
    <definedName name="__Anonymous_Sheet_DB__1">#REF!</definedName>
    <definedName name="__Anonymous_Sheet_DB__1_1" localSheetId="18">#REF!</definedName>
    <definedName name="__Anonymous_Sheet_DB__1_1" localSheetId="17">#REF!</definedName>
    <definedName name="__Anonymous_Sheet_DB__1_1">#REF!</definedName>
    <definedName name="__Anonymous_Sheet_DB__2" localSheetId="18">#REF!</definedName>
    <definedName name="__Anonymous_Sheet_DB__2" localSheetId="17">#REF!</definedName>
    <definedName name="__Anonymous_Sheet_DB__2">#REF!</definedName>
    <definedName name="_xlnm._FilterDatabase" localSheetId="17">#REF!</definedName>
    <definedName name="_xlnm._FilterDatabase">#REF!</definedName>
    <definedName name="_FilterDatabase_1" localSheetId="17">#REF!</definedName>
    <definedName name="_FilterDatabase_1">#REF!</definedName>
    <definedName name="_FilterDatabase_1_1" localSheetId="17">#REF!</definedName>
    <definedName name="_FilterDatabase_1_1">#REF!</definedName>
    <definedName name="_FilterDatabase_2" localSheetId="17">#REF!</definedName>
    <definedName name="_FilterDatabase_2">#REF!</definedName>
    <definedName name="_xlnm.Print_Area">'[1]薪資表(月薪)'!$A$1:$AS$4</definedName>
    <definedName name="sss" localSheetId="0">#REF!</definedName>
    <definedName name="sss" localSheetId="1">#REF!</definedName>
    <definedName name="sss" localSheetId="14">#REF!</definedName>
    <definedName name="sss" localSheetId="15">#REF!</definedName>
    <definedName name="sss" localSheetId="16">#REF!</definedName>
    <definedName name="sss" localSheetId="2">#REF!</definedName>
    <definedName name="sss" localSheetId="3">#REF!</definedName>
    <definedName name="sss" localSheetId="4">#REF!</definedName>
    <definedName name="sss" localSheetId="5">#REF!</definedName>
    <definedName name="sss" localSheetId="6">#REF!</definedName>
    <definedName name="sss" localSheetId="7">#REF!</definedName>
    <definedName name="sss" localSheetId="8">#REF!</definedName>
    <definedName name="sss" localSheetId="9">#REF!</definedName>
    <definedName name="sss" localSheetId="10">#REF!</definedName>
    <definedName name="sss" localSheetId="11">#REF!</definedName>
    <definedName name="sss" localSheetId="12">#REF!</definedName>
    <definedName name="sss" localSheetId="13">#REF!</definedName>
    <definedName name="sss" localSheetId="18">#REF!</definedName>
    <definedName name="sss" localSheetId="19">#REF!</definedName>
    <definedName name="sss" localSheetId="17">#REF!</definedName>
    <definedName name="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68" l="1"/>
  <c r="C25" i="68"/>
  <c r="C24" i="68"/>
  <c r="C23" i="68"/>
  <c r="C22" i="68"/>
  <c r="C21" i="68"/>
  <c r="C20" i="68"/>
  <c r="C19" i="68"/>
  <c r="C18" i="68"/>
  <c r="C17" i="68"/>
  <c r="C16" i="68"/>
  <c r="C14" i="68"/>
  <c r="C13" i="68"/>
  <c r="C11" i="68"/>
  <c r="C9" i="68"/>
  <c r="C8" i="68"/>
  <c r="C5" i="68"/>
  <c r="A5" i="68"/>
  <c r="B5" i="68"/>
  <c r="A4" i="68"/>
  <c r="O29" i="27"/>
  <c r="N29" i="27"/>
  <c r="O27" i="27"/>
  <c r="N27" i="27"/>
  <c r="C27" i="68" l="1"/>
  <c r="C26" i="67"/>
  <c r="C25" i="67"/>
  <c r="C24" i="67"/>
  <c r="C23" i="67"/>
  <c r="C22" i="67"/>
  <c r="C21" i="67"/>
  <c r="C20" i="67"/>
  <c r="C19" i="67"/>
  <c r="C18" i="67"/>
  <c r="C17" i="67"/>
  <c r="C16" i="67"/>
  <c r="C14" i="67"/>
  <c r="C13" i="67"/>
  <c r="C11" i="67"/>
  <c r="C9" i="67"/>
  <c r="C8" i="67"/>
  <c r="C5" i="67"/>
  <c r="A5" i="67"/>
  <c r="B5" i="67"/>
  <c r="A4" i="67"/>
  <c r="C26" i="66"/>
  <c r="C25" i="66"/>
  <c r="C24" i="66"/>
  <c r="C23" i="66"/>
  <c r="C22" i="66"/>
  <c r="C21" i="66"/>
  <c r="C20" i="66"/>
  <c r="C19" i="66"/>
  <c r="C18" i="66"/>
  <c r="C17" i="66"/>
  <c r="C16" i="66"/>
  <c r="C14" i="66"/>
  <c r="C13" i="66"/>
  <c r="C11" i="66"/>
  <c r="C9" i="66"/>
  <c r="C8" i="66"/>
  <c r="C5" i="66"/>
  <c r="A5" i="66"/>
  <c r="B5" i="66"/>
  <c r="A4" i="66"/>
  <c r="C25" i="65"/>
  <c r="C27" i="65" s="1"/>
  <c r="C24" i="65"/>
  <c r="C23" i="65"/>
  <c r="C18" i="65"/>
  <c r="C17" i="65"/>
  <c r="C5" i="65"/>
  <c r="A5" i="65"/>
  <c r="B5" i="65"/>
  <c r="A4" i="65"/>
  <c r="C315" i="44"/>
  <c r="C314" i="44"/>
  <c r="C313" i="44"/>
  <c r="A314" i="44" s="1"/>
  <c r="C27" i="67" l="1"/>
  <c r="C27" i="66"/>
  <c r="C26" i="64"/>
  <c r="C25" i="64"/>
  <c r="C24" i="64"/>
  <c r="C23" i="64"/>
  <c r="C22" i="64"/>
  <c r="C21" i="64"/>
  <c r="C20" i="64"/>
  <c r="C19" i="64"/>
  <c r="C18" i="64"/>
  <c r="C17" i="64"/>
  <c r="C16" i="64"/>
  <c r="C14" i="64"/>
  <c r="C13" i="64"/>
  <c r="C11" i="64"/>
  <c r="C9" i="64"/>
  <c r="C8" i="64"/>
  <c r="C5" i="64"/>
  <c r="A5" i="64"/>
  <c r="B5" i="64"/>
  <c r="A4" i="64"/>
  <c r="C26" i="63"/>
  <c r="C25" i="63"/>
  <c r="C24" i="63"/>
  <c r="C23" i="63"/>
  <c r="C22" i="63"/>
  <c r="C21" i="63"/>
  <c r="C20" i="63"/>
  <c r="C19" i="63"/>
  <c r="C18" i="63"/>
  <c r="C17" i="63"/>
  <c r="C16" i="63"/>
  <c r="C14" i="63"/>
  <c r="C13" i="63"/>
  <c r="C11" i="63"/>
  <c r="C9" i="63"/>
  <c r="C8" i="63"/>
  <c r="C5" i="63"/>
  <c r="A5" i="63"/>
  <c r="B5" i="63"/>
  <c r="A4" i="63"/>
  <c r="C26" i="62"/>
  <c r="C25" i="62"/>
  <c r="C24" i="62"/>
  <c r="C23" i="62"/>
  <c r="C22" i="62"/>
  <c r="C21" i="62"/>
  <c r="C20" i="62"/>
  <c r="C19" i="62"/>
  <c r="C18" i="62"/>
  <c r="C17" i="62"/>
  <c r="C16" i="62"/>
  <c r="C14" i="62"/>
  <c r="C13" i="62"/>
  <c r="C11" i="62"/>
  <c r="C9" i="62"/>
  <c r="C8" i="62"/>
  <c r="C5" i="62"/>
  <c r="A5" i="62"/>
  <c r="B5" i="62"/>
  <c r="A4" i="62"/>
  <c r="M29" i="27"/>
  <c r="M28" i="27"/>
  <c r="M27" i="27"/>
  <c r="L29" i="27"/>
  <c r="L27" i="27"/>
  <c r="K29" i="27"/>
  <c r="K27" i="27"/>
  <c r="C25" i="61"/>
  <c r="C27" i="61" s="1"/>
  <c r="C24" i="61"/>
  <c r="C23" i="61"/>
  <c r="C18" i="61"/>
  <c r="C17" i="61"/>
  <c r="C5" i="61"/>
  <c r="A5" i="61"/>
  <c r="B5" i="61"/>
  <c r="A4" i="61"/>
  <c r="C279" i="44"/>
  <c r="C278" i="44"/>
  <c r="C277" i="44"/>
  <c r="J29" i="27"/>
  <c r="J28" i="27"/>
  <c r="J27" i="27"/>
  <c r="C27" i="64" l="1"/>
  <c r="C27" i="63"/>
  <c r="C27" i="62"/>
  <c r="A278" i="44"/>
  <c r="C26" i="60"/>
  <c r="C25" i="60"/>
  <c r="C27" i="60" s="1"/>
  <c r="C24" i="60"/>
  <c r="C23" i="60"/>
  <c r="C22" i="60"/>
  <c r="C21" i="60"/>
  <c r="C20" i="60"/>
  <c r="C19" i="60"/>
  <c r="C18" i="60"/>
  <c r="C17" i="60"/>
  <c r="C16" i="60"/>
  <c r="C14" i="60"/>
  <c r="C13" i="60"/>
  <c r="C11" i="60"/>
  <c r="C9" i="60"/>
  <c r="C8" i="60"/>
  <c r="C5" i="60"/>
  <c r="A5" i="60"/>
  <c r="B5" i="60"/>
  <c r="A4" i="60"/>
  <c r="C26" i="59"/>
  <c r="C25" i="59"/>
  <c r="C24" i="59"/>
  <c r="C23" i="59"/>
  <c r="C22" i="59"/>
  <c r="C21" i="59"/>
  <c r="C20" i="59"/>
  <c r="C19" i="59"/>
  <c r="C18" i="59"/>
  <c r="C17" i="59"/>
  <c r="C16" i="59"/>
  <c r="C14" i="59"/>
  <c r="C13" i="59"/>
  <c r="C11" i="59"/>
  <c r="C9" i="59"/>
  <c r="C8" i="59"/>
  <c r="C5" i="59"/>
  <c r="A5" i="59"/>
  <c r="B5" i="59"/>
  <c r="A4" i="59"/>
  <c r="I29" i="27"/>
  <c r="I27" i="27"/>
  <c r="H29" i="27"/>
  <c r="H27" i="27"/>
  <c r="C26" i="58"/>
  <c r="C25" i="58"/>
  <c r="C24" i="58"/>
  <c r="C23" i="58"/>
  <c r="C22" i="58"/>
  <c r="C21" i="58"/>
  <c r="C20" i="58"/>
  <c r="C19" i="58"/>
  <c r="C18" i="58"/>
  <c r="C17" i="58"/>
  <c r="C16" i="58"/>
  <c r="C14" i="58"/>
  <c r="C13" i="58"/>
  <c r="C11" i="58"/>
  <c r="C9" i="58"/>
  <c r="C8" i="58"/>
  <c r="C5" i="58"/>
  <c r="A5" i="58"/>
  <c r="B5" i="58"/>
  <c r="A4" i="58"/>
  <c r="C27" i="58"/>
  <c r="C25" i="57"/>
  <c r="C27" i="57" s="1"/>
  <c r="C24" i="57"/>
  <c r="C23" i="57"/>
  <c r="C18" i="57"/>
  <c r="C17" i="57"/>
  <c r="C5" i="57"/>
  <c r="A5" i="57"/>
  <c r="B5" i="57"/>
  <c r="A4" i="57"/>
  <c r="C243" i="44"/>
  <c r="C242" i="44"/>
  <c r="C241" i="44"/>
  <c r="A242" i="44"/>
  <c r="C26" i="56"/>
  <c r="C25" i="56"/>
  <c r="C24" i="56"/>
  <c r="C23" i="56"/>
  <c r="C22" i="56"/>
  <c r="C21" i="56"/>
  <c r="C20" i="56"/>
  <c r="C19" i="56"/>
  <c r="C18" i="56"/>
  <c r="C17" i="56"/>
  <c r="C16" i="56"/>
  <c r="C14" i="56"/>
  <c r="C13" i="56"/>
  <c r="C11" i="56"/>
  <c r="C9" i="56"/>
  <c r="C8" i="56"/>
  <c r="C5" i="56"/>
  <c r="A5" i="56"/>
  <c r="B5" i="56"/>
  <c r="A4" i="56"/>
  <c r="C26" i="55"/>
  <c r="C25" i="55"/>
  <c r="C24" i="55"/>
  <c r="C23" i="55"/>
  <c r="C22" i="55"/>
  <c r="C21" i="55"/>
  <c r="C20" i="55"/>
  <c r="C19" i="55"/>
  <c r="C18" i="55"/>
  <c r="C17" i="55"/>
  <c r="C16" i="55"/>
  <c r="C14" i="55"/>
  <c r="C13" i="55"/>
  <c r="C11" i="55"/>
  <c r="C9" i="55"/>
  <c r="C8" i="55"/>
  <c r="C5" i="55"/>
  <c r="A5" i="55"/>
  <c r="B5" i="55"/>
  <c r="A4" i="55"/>
  <c r="C26" i="54"/>
  <c r="C25" i="54"/>
  <c r="C24" i="54"/>
  <c r="C23" i="54"/>
  <c r="C22" i="54"/>
  <c r="C21" i="54"/>
  <c r="C20" i="54"/>
  <c r="C19" i="54"/>
  <c r="C18" i="54"/>
  <c r="C17" i="54"/>
  <c r="C16" i="54"/>
  <c r="C14" i="54"/>
  <c r="C13" i="54"/>
  <c r="C11" i="54"/>
  <c r="C9" i="54"/>
  <c r="C8" i="54"/>
  <c r="C5" i="54"/>
  <c r="A5" i="54"/>
  <c r="B5" i="54"/>
  <c r="A4" i="54"/>
  <c r="G29" i="27"/>
  <c r="F29" i="27"/>
  <c r="E29" i="27"/>
  <c r="D29" i="27"/>
  <c r="G28" i="27"/>
  <c r="D28" i="27"/>
  <c r="G27" i="27"/>
  <c r="F27" i="27"/>
  <c r="E27" i="27"/>
  <c r="D27" i="27"/>
  <c r="F25" i="27"/>
  <c r="D25" i="27"/>
  <c r="P28" i="27" l="1"/>
  <c r="C27" i="59"/>
  <c r="P27" i="27"/>
  <c r="P29" i="27"/>
  <c r="C27" i="56"/>
  <c r="C27" i="55"/>
  <c r="C27" i="54"/>
  <c r="C25" i="53"/>
  <c r="C27" i="53" s="1"/>
  <c r="C24" i="53"/>
  <c r="C23" i="53"/>
  <c r="C18" i="53"/>
  <c r="C17" i="53"/>
  <c r="C5" i="53"/>
  <c r="A5" i="53"/>
  <c r="B5" i="53"/>
  <c r="A4" i="53"/>
  <c r="A205" i="44"/>
  <c r="C26" i="52"/>
  <c r="C25" i="52"/>
  <c r="C24" i="52"/>
  <c r="C23" i="52"/>
  <c r="C22" i="52"/>
  <c r="C21" i="52"/>
  <c r="C20" i="52"/>
  <c r="C19" i="52"/>
  <c r="C18" i="52"/>
  <c r="C17" i="52"/>
  <c r="C16" i="52"/>
  <c r="C14" i="52"/>
  <c r="C13" i="52"/>
  <c r="C11" i="52"/>
  <c r="C9" i="52"/>
  <c r="C8" i="52"/>
  <c r="C5" i="52"/>
  <c r="A5" i="52"/>
  <c r="B5" i="52"/>
  <c r="A4" i="52"/>
  <c r="Q27" i="27" l="1"/>
  <c r="C27" i="52"/>
  <c r="A166" i="44"/>
  <c r="A126" i="44" l="1"/>
  <c r="A87" i="44"/>
  <c r="E84" i="44"/>
  <c r="F84" i="44" s="1"/>
  <c r="E83" i="44"/>
  <c r="F83" i="44" s="1"/>
  <c r="E82" i="44"/>
  <c r="F82" i="44" s="1"/>
  <c r="E81" i="44"/>
  <c r="F81" i="44" s="1"/>
  <c r="E72" i="44"/>
  <c r="F72" i="44" s="1"/>
  <c r="E71" i="44"/>
  <c r="F71" i="44" s="1"/>
  <c r="E70" i="44"/>
  <c r="F70" i="44" s="1"/>
  <c r="E69" i="44"/>
  <c r="F69" i="44" s="1"/>
  <c r="E60" i="44"/>
  <c r="F60" i="44" s="1"/>
  <c r="E59" i="44"/>
  <c r="F59" i="44" s="1"/>
  <c r="E58" i="44"/>
  <c r="F58" i="44" s="1"/>
  <c r="F56" i="44" s="1"/>
  <c r="C48" i="44"/>
  <c r="A49" i="44" s="1"/>
  <c r="F67" i="44" l="1"/>
  <c r="F79" i="44"/>
  <c r="C27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五顆松3號電腦</author>
  </authors>
  <commentList>
    <comment ref="G71" authorId="0" shapeId="0" xr:uid="{0F03F6D5-8448-48D7-9384-0814B7CACF46}">
      <text>
        <r>
          <rPr>
            <b/>
            <sz val="9"/>
            <color indexed="81"/>
            <rFont val="細明體"/>
            <family val="3"/>
            <charset val="136"/>
          </rPr>
          <t>與李政儒</t>
        </r>
        <r>
          <rPr>
            <b/>
            <sz val="9"/>
            <color indexed="81"/>
            <rFont val="Tahoma"/>
            <family val="2"/>
          </rPr>
          <t>+1</t>
        </r>
      </text>
    </comment>
    <comment ref="K273" authorId="0" shapeId="0" xr:uid="{4553BC8E-4D18-4B9A-8AB1-109940F05292}">
      <text>
        <r>
          <rPr>
            <sz val="9"/>
            <color indexed="81"/>
            <rFont val="細明體"/>
            <family val="3"/>
            <charset val="136"/>
          </rPr>
          <t>與林毓琪</t>
        </r>
        <r>
          <rPr>
            <sz val="9"/>
            <color indexed="81"/>
            <rFont val="Tahoma"/>
            <family val="2"/>
          </rPr>
          <t>+0.3</t>
        </r>
      </text>
    </comment>
    <comment ref="K275" authorId="0" shapeId="0" xr:uid="{4583E284-3934-44B0-9F0A-0A208B82BC88}">
      <text>
        <r>
          <rPr>
            <sz val="9"/>
            <color indexed="81"/>
            <rFont val="細明體"/>
            <family val="3"/>
            <charset val="136"/>
          </rPr>
          <t>與林毓琪</t>
        </r>
        <r>
          <rPr>
            <sz val="9"/>
            <color indexed="81"/>
            <rFont val="Tahoma"/>
            <family val="2"/>
          </rPr>
          <t xml:space="preserve">+0.3
</t>
        </r>
      </text>
    </comment>
    <comment ref="H287" authorId="0" shapeId="0" xr:uid="{0B40C780-8648-4069-8A4E-B886E0C53BE4}">
      <text>
        <r>
          <rPr>
            <sz val="9"/>
            <color indexed="81"/>
            <rFont val="細明體"/>
            <family val="3"/>
            <charset val="136"/>
          </rPr>
          <t>與謝曉綺</t>
        </r>
        <r>
          <rPr>
            <sz val="9"/>
            <color indexed="81"/>
            <rFont val="Tahoma"/>
            <family val="2"/>
          </rPr>
          <t xml:space="preserve">+1.03
</t>
        </r>
        <r>
          <rPr>
            <sz val="9"/>
            <color indexed="81"/>
            <rFont val="細明體"/>
            <family val="3"/>
            <charset val="136"/>
          </rPr>
          <t>與劉嘉琳</t>
        </r>
        <r>
          <rPr>
            <sz val="9"/>
            <color indexed="81"/>
            <rFont val="Tahoma"/>
            <family val="2"/>
          </rPr>
          <t xml:space="preserve">+0.42
</t>
        </r>
      </text>
    </comment>
    <comment ref="H289" authorId="0" shapeId="0" xr:uid="{7FD3C4A5-10DE-406F-B0CD-32099D1FDEC2}">
      <text>
        <r>
          <rPr>
            <sz val="9"/>
            <color indexed="81"/>
            <rFont val="細明體"/>
            <family val="3"/>
            <charset val="136"/>
          </rPr>
          <t>與謝曉綺</t>
        </r>
        <r>
          <rPr>
            <sz val="9"/>
            <color indexed="81"/>
            <rFont val="Tahoma"/>
            <family val="2"/>
          </rPr>
          <t xml:space="preserve">+1.87
</t>
        </r>
        <r>
          <rPr>
            <sz val="9"/>
            <color indexed="81"/>
            <rFont val="細明體"/>
            <family val="3"/>
            <charset val="136"/>
          </rPr>
          <t>與劉嘉琳</t>
        </r>
        <r>
          <rPr>
            <sz val="9"/>
            <color indexed="81"/>
            <rFont val="Tahoma"/>
            <family val="2"/>
          </rPr>
          <t xml:space="preserve">+0.42
</t>
        </r>
      </text>
    </comment>
    <comment ref="H298" authorId="0" shapeId="0" xr:uid="{26B3506C-6080-4D51-82C2-835056E02F4F}">
      <text>
        <r>
          <rPr>
            <sz val="9"/>
            <color indexed="81"/>
            <rFont val="細明體"/>
            <family val="3"/>
            <charset val="136"/>
          </rPr>
          <t>與樓怡婷</t>
        </r>
        <r>
          <rPr>
            <sz val="9"/>
            <color indexed="81"/>
            <rFont val="Tahoma"/>
            <family val="2"/>
          </rPr>
          <t xml:space="preserve">+0.42
</t>
        </r>
        <r>
          <rPr>
            <sz val="9"/>
            <color indexed="81"/>
            <rFont val="細明體"/>
            <family val="3"/>
            <charset val="136"/>
          </rPr>
          <t>與盧麗貞</t>
        </r>
        <r>
          <rPr>
            <sz val="9"/>
            <color indexed="81"/>
            <rFont val="Tahoma"/>
            <family val="2"/>
          </rPr>
          <t xml:space="preserve">+0.84
</t>
        </r>
      </text>
    </comment>
    <comment ref="H300" authorId="0" shapeId="0" xr:uid="{E7A3D92C-8CE3-472B-B927-16B0DFD7191F}">
      <text>
        <r>
          <rPr>
            <sz val="9"/>
            <color indexed="81"/>
            <rFont val="細明體"/>
            <family val="3"/>
            <charset val="136"/>
          </rPr>
          <t>與樓怡婷</t>
        </r>
        <r>
          <rPr>
            <sz val="9"/>
            <color indexed="81"/>
            <rFont val="Tahoma"/>
            <family val="2"/>
          </rPr>
          <t xml:space="preserve">+0.42
</t>
        </r>
        <r>
          <rPr>
            <sz val="9"/>
            <color indexed="81"/>
            <rFont val="細明體"/>
            <family val="3"/>
            <charset val="136"/>
          </rPr>
          <t>與盧麗貞</t>
        </r>
        <r>
          <rPr>
            <sz val="9"/>
            <color indexed="81"/>
            <rFont val="Tahoma"/>
            <family val="2"/>
          </rPr>
          <t xml:space="preserve">+0.84
</t>
        </r>
      </text>
    </comment>
  </commentList>
</comments>
</file>

<file path=xl/sharedStrings.xml><?xml version="1.0" encoding="utf-8"?>
<sst xmlns="http://schemas.openxmlformats.org/spreadsheetml/2006/main" count="2371" uniqueCount="247">
  <si>
    <t>一般/偏鄉</t>
    <phoneticPr fontId="16" type="noConversion"/>
  </si>
  <si>
    <t>項目名稱</t>
    <phoneticPr fontId="16" type="noConversion"/>
  </si>
  <si>
    <t>編號</t>
    <phoneticPr fontId="16" type="noConversion"/>
  </si>
  <si>
    <t>單價</t>
    <phoneticPr fontId="16" type="noConversion"/>
  </si>
  <si>
    <t>組數</t>
    <phoneticPr fontId="16" type="noConversion"/>
  </si>
  <si>
    <t>小計</t>
    <phoneticPr fontId="16" type="noConversion"/>
  </si>
  <si>
    <t>基本資料</t>
    <phoneticPr fontId="16" type="noConversion"/>
  </si>
  <si>
    <t>服務所得</t>
    <phoneticPr fontId="34" type="noConversion"/>
  </si>
  <si>
    <t>勞健保費</t>
    <phoneticPr fontId="34" type="noConversion"/>
  </si>
  <si>
    <t>X-AH</t>
    <phoneticPr fontId="34" type="noConversion"/>
  </si>
  <si>
    <t>AI-AJ</t>
    <phoneticPr fontId="34" type="noConversion"/>
  </si>
  <si>
    <t>年月</t>
    <phoneticPr fontId="34" type="noConversion"/>
  </si>
  <si>
    <t>正/兼職</t>
    <phoneticPr fontId="34" type="noConversion"/>
  </si>
  <si>
    <t>身分證字號</t>
    <phoneticPr fontId="34" type="noConversion"/>
  </si>
  <si>
    <t>員工編號</t>
    <phoneticPr fontId="34" type="noConversion"/>
  </si>
  <si>
    <t>職稱</t>
    <phoneticPr fontId="34" type="noConversion"/>
  </si>
  <si>
    <t>姓名</t>
    <phoneticPr fontId="34" type="noConversion"/>
  </si>
  <si>
    <t>薪制</t>
    <phoneticPr fontId="34" type="noConversion"/>
  </si>
  <si>
    <t>銀行帳號</t>
    <phoneticPr fontId="34" type="noConversion"/>
  </si>
  <si>
    <t>連絡電話</t>
    <phoneticPr fontId="34" type="noConversion"/>
  </si>
  <si>
    <t>時薪</t>
    <phoneticPr fontId="34" type="noConversion"/>
  </si>
  <si>
    <t xml:space="preserve"> 平日工作加給</t>
    <phoneticPr fontId="34" type="noConversion"/>
  </si>
  <si>
    <r>
      <t xml:space="preserve">平日加班加給           </t>
    </r>
    <r>
      <rPr>
        <b/>
        <sz val="10"/>
        <color theme="4" tint="-0.249977111117893"/>
        <rFont val="Microsoft JhengHei UI"/>
        <family val="2"/>
        <charset val="136"/>
      </rPr>
      <t xml:space="preserve">/B碼拆帳比        </t>
    </r>
    <r>
      <rPr>
        <b/>
        <sz val="10"/>
        <color indexed="64"/>
        <rFont val="Microsoft JhengHei UI"/>
        <family val="2"/>
        <charset val="136"/>
      </rPr>
      <t xml:space="preserve">     </t>
    </r>
    <r>
      <rPr>
        <b/>
        <sz val="10"/>
        <color theme="8" tint="-0.499984740745262"/>
        <rFont val="Microsoft JhengHei UI"/>
        <family val="2"/>
        <charset val="136"/>
      </rPr>
      <t xml:space="preserve">   /督導常日拆帳比</t>
    </r>
    <phoneticPr fontId="34" type="noConversion"/>
  </si>
  <si>
    <t>津貼</t>
  </si>
  <si>
    <t>平日時數</t>
    <phoneticPr fontId="34" type="noConversion"/>
  </si>
  <si>
    <t>平日加班時數</t>
    <phoneticPr fontId="16" type="noConversion"/>
  </si>
  <si>
    <t>例假日時數</t>
    <phoneticPr fontId="34" type="noConversion"/>
  </si>
  <si>
    <t>總工作時數</t>
    <phoneticPr fontId="16" type="noConversion"/>
  </si>
  <si>
    <t>應發薪資</t>
    <phoneticPr fontId="16" type="noConversion"/>
  </si>
  <si>
    <t>加(退)保日</t>
    <phoneticPr fontId="34" type="noConversion"/>
  </si>
  <si>
    <r>
      <rPr>
        <b/>
        <sz val="10"/>
        <color rgb="FF000000"/>
        <rFont val="Microsoft JhengHei UI"/>
        <family val="2"/>
        <charset val="136"/>
      </rPr>
      <t>勞保</t>
    </r>
    <r>
      <rPr>
        <b/>
        <sz val="10"/>
        <color indexed="64"/>
        <rFont val="Microsoft JhengHei UI"/>
        <family val="2"/>
        <charset val="136"/>
      </rPr>
      <t>投保金額</t>
    </r>
    <phoneticPr fontId="34" type="noConversion"/>
  </si>
  <si>
    <t>勞保費</t>
    <phoneticPr fontId="34" type="noConversion"/>
  </si>
  <si>
    <r>
      <rPr>
        <b/>
        <sz val="10"/>
        <color rgb="FF000000"/>
        <rFont val="Microsoft JhengHei UI"/>
        <family val="2"/>
        <charset val="136"/>
      </rPr>
      <t>健保</t>
    </r>
    <r>
      <rPr>
        <b/>
        <sz val="10"/>
        <color indexed="64"/>
        <rFont val="Microsoft JhengHei UI"/>
        <family val="2"/>
        <charset val="136"/>
      </rPr>
      <t>投保金額</t>
    </r>
    <phoneticPr fontId="34" type="noConversion"/>
  </si>
  <si>
    <t>健保費</t>
    <phoneticPr fontId="34" type="noConversion"/>
  </si>
  <si>
    <t>加保人數</t>
    <phoneticPr fontId="16" type="noConversion"/>
  </si>
  <si>
    <t>補充保費計算</t>
    <phoneticPr fontId="16" type="noConversion"/>
  </si>
  <si>
    <t>應扣金額</t>
    <phoneticPr fontId="34" type="noConversion"/>
  </si>
  <si>
    <t>應付薪資</t>
    <phoneticPr fontId="34" type="noConversion"/>
  </si>
  <si>
    <t>支領現金</t>
    <phoneticPr fontId="34" type="noConversion"/>
  </si>
  <si>
    <t>薪轉金額</t>
    <phoneticPr fontId="34" type="noConversion"/>
  </si>
  <si>
    <t>公司負擔勞退</t>
    <phoneticPr fontId="16" type="noConversion"/>
  </si>
  <si>
    <t>項目(A1)</t>
    <phoneticPr fontId="43" type="noConversion"/>
  </si>
  <si>
    <t>工作加給/小時               (aa)</t>
    <phoneticPr fontId="16" type="noConversion"/>
  </si>
  <si>
    <t>平日服務時數                          (b)</t>
    <phoneticPr fontId="43" type="noConversion"/>
  </si>
  <si>
    <t>平日加班時數                          (e)</t>
    <phoneticPr fontId="16" type="noConversion"/>
  </si>
  <si>
    <t>津貼/小時                                  (i)</t>
    <phoneticPr fontId="16" type="noConversion"/>
  </si>
  <si>
    <t>獎金(A2)</t>
    <phoneticPr fontId="16" type="noConversion"/>
  </si>
  <si>
    <t xml:space="preserve">                                                    </t>
    <phoneticPr fontId="16" type="noConversion"/>
  </si>
  <si>
    <t>應發薪資(A)</t>
    <phoneticPr fontId="43" type="noConversion"/>
  </si>
  <si>
    <t>A1(c+h+j)+A2</t>
    <phoneticPr fontId="43" type="noConversion"/>
  </si>
  <si>
    <t>個人扣項</t>
    <phoneticPr fontId="43" type="noConversion"/>
  </si>
  <si>
    <t>應扣總款(B)</t>
    <phoneticPr fontId="43" type="noConversion"/>
  </si>
  <si>
    <t>k+l+m+n</t>
    <phoneticPr fontId="43" type="noConversion"/>
  </si>
  <si>
    <t>支領現金</t>
    <phoneticPr fontId="43" type="noConversion"/>
  </si>
  <si>
    <t xml:space="preserve">       </t>
    <phoneticPr fontId="43" type="noConversion"/>
  </si>
  <si>
    <t>實發薪資(C)</t>
    <phoneticPr fontId="43" type="noConversion"/>
  </si>
  <si>
    <t>銀行薪轉金額</t>
    <phoneticPr fontId="43" type="noConversion"/>
  </si>
  <si>
    <t>勞退 (D)</t>
    <phoneticPr fontId="43" type="noConversion"/>
  </si>
  <si>
    <t>機構負擔勞退6%</t>
    <phoneticPr fontId="43" type="noConversion"/>
  </si>
  <si>
    <t>實得薪資</t>
    <phoneticPr fontId="43" type="noConversion"/>
  </si>
  <si>
    <t>備註</t>
    <phoneticPr fontId="43" type="noConversion"/>
  </si>
  <si>
    <t>身份證字號</t>
    <phoneticPr fontId="51" type="noConversion"/>
  </si>
  <si>
    <t>十二月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</si>
  <si>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</si>
  <si>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</si>
  <si>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</si>
  <si>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</si>
  <si>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</si>
  <si>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</si>
  <si>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</si>
  <si>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</si>
  <si>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</si>
  <si>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</si>
  <si>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</si>
  <si>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合計</t>
    <phoneticPr fontId="51" type="noConversion"/>
  </si>
  <si>
    <t>申報金額</t>
    <phoneticPr fontId="51" type="noConversion"/>
  </si>
  <si>
    <t>薪資</t>
    <phoneticPr fontId="51" type="noConversion"/>
  </si>
  <si>
    <t>獎金</t>
    <phoneticPr fontId="51" type="noConversion"/>
  </si>
  <si>
    <t>投保金額</t>
    <phoneticPr fontId="51" type="noConversion"/>
  </si>
  <si>
    <t>自提勞退                                  (n)</t>
    <phoneticPr fontId="43" type="noConversion"/>
  </si>
  <si>
    <t>二代健保                                 (m)</t>
    <phoneticPr fontId="43" type="noConversion"/>
  </si>
  <si>
    <r>
      <t>總津貼</t>
    </r>
    <r>
      <rPr>
        <sz val="10"/>
        <color theme="1"/>
        <rFont val="微軟正黑體"/>
        <family val="2"/>
        <charset val="136"/>
      </rPr>
      <t xml:space="preserve">(50*總工作時數 ) </t>
    </r>
    <r>
      <rPr>
        <sz val="12"/>
        <color theme="1"/>
        <rFont val="微軟正黑體"/>
        <family val="2"/>
        <charset val="136"/>
      </rPr>
      <t xml:space="preserve">               (j)</t>
    </r>
    <phoneticPr fontId="16" type="noConversion"/>
  </si>
  <si>
    <t>總加班費                                  (h)</t>
    <phoneticPr fontId="43" type="noConversion"/>
  </si>
  <si>
    <t>平日加班加給/小時                 (d)</t>
    <phoneticPr fontId="16" type="noConversion"/>
  </si>
  <si>
    <r>
      <t>平日延長加班/假日</t>
    </r>
    <r>
      <rPr>
        <sz val="10"/>
        <color theme="1"/>
        <rFont val="微軟正黑體"/>
        <family val="2"/>
        <charset val="136"/>
      </rPr>
      <t xml:space="preserve">(休息及國定)  </t>
    </r>
    <r>
      <rPr>
        <sz val="8"/>
        <color theme="1"/>
        <rFont val="微軟正黑體"/>
        <family val="2"/>
        <charset val="136"/>
      </rPr>
      <t xml:space="preserve"> </t>
    </r>
    <r>
      <rPr>
        <sz val="12"/>
        <color theme="1"/>
        <rFont val="微軟正黑體"/>
        <family val="2"/>
        <charset val="136"/>
      </rPr>
      <t>加給/小時                                 (f)</t>
    </r>
    <phoneticPr fontId="43" type="noConversion"/>
  </si>
  <si>
    <t>薪資/小時                                (a)</t>
    <phoneticPr fontId="43" type="noConversion"/>
  </si>
  <si>
    <t>本薪                                         (c)</t>
    <phoneticPr fontId="43" type="noConversion"/>
  </si>
  <si>
    <t>新北市私立五棵松居家長照機構     2023年09月     員工拆帳明細表</t>
  </si>
  <si>
    <t>建立時間: 2023/10/26下午 06:40:06</t>
  </si>
  <si>
    <t>平日加班時數超過10小時     /總工時累進加給比例</t>
    <phoneticPr fontId="16" type="noConversion"/>
  </si>
  <si>
    <r>
      <t xml:space="preserve">本薪                          </t>
    </r>
    <r>
      <rPr>
        <b/>
        <sz val="10"/>
        <color theme="4" tint="-0.249977111117893"/>
        <rFont val="Microsoft JhengHei UI"/>
        <family val="2"/>
        <charset val="136"/>
      </rPr>
      <t>/服務B碼營業額</t>
    </r>
    <phoneticPr fontId="34" type="noConversion"/>
  </si>
  <si>
    <r>
      <rPr>
        <b/>
        <sz val="10"/>
        <color rgb="FF000000"/>
        <rFont val="Microsoft JhengHei UI"/>
        <family val="2"/>
        <charset val="136"/>
      </rPr>
      <t>總</t>
    </r>
    <r>
      <rPr>
        <b/>
        <sz val="10"/>
        <color indexed="64"/>
        <rFont val="Microsoft JhengHei UI"/>
        <family val="2"/>
        <charset val="136"/>
      </rPr>
      <t>津貼                   /</t>
    </r>
    <r>
      <rPr>
        <b/>
        <sz val="10"/>
        <color theme="4" tint="-0.249977111117893"/>
        <rFont val="Microsoft JhengHei UI"/>
        <family val="2"/>
        <charset val="136"/>
      </rPr>
      <t>服務B碼所得</t>
    </r>
    <phoneticPr fontId="34" type="noConversion"/>
  </si>
  <si>
    <r>
      <t xml:space="preserve"> 獎金                           </t>
    </r>
    <r>
      <rPr>
        <b/>
        <sz val="10"/>
        <color theme="4" tint="-0.249977111117893"/>
        <rFont val="Microsoft JhengHei UI"/>
        <family val="2"/>
        <charset val="136"/>
      </rPr>
      <t>/政策A碼獎金所得</t>
    </r>
    <r>
      <rPr>
        <b/>
        <sz val="10"/>
        <color theme="1"/>
        <rFont val="Microsoft JhengHei UI"/>
        <family val="2"/>
        <charset val="136"/>
      </rPr>
      <t xml:space="preserve">                   </t>
    </r>
    <phoneticPr fontId="34" type="noConversion"/>
  </si>
  <si>
    <t xml:space="preserve"> 二代健保    補充保費</t>
    <phoneticPr fontId="16" type="noConversion"/>
  </si>
  <si>
    <t>自提勞退           / 銀行債務</t>
    <phoneticPr fontId="16" type="noConversion"/>
  </si>
  <si>
    <t>延常例價國定日加給               /A碼拆障比                          /督導加班及假日拆帳比</t>
    <phoneticPr fontId="34" type="noConversion"/>
  </si>
  <si>
    <r>
      <t xml:space="preserve"> 總加班費                            </t>
    </r>
    <r>
      <rPr>
        <b/>
        <sz val="10"/>
        <rFont val="Microsoft JhengHei UI"/>
        <family val="2"/>
        <charset val="136"/>
      </rPr>
      <t>/政策鼓勵A碼獎金</t>
    </r>
    <phoneticPr fontId="34" type="noConversion"/>
  </si>
  <si>
    <t>正</t>
  </si>
  <si>
    <t>N0174</t>
  </si>
  <si>
    <t>居服員</t>
  </si>
  <si>
    <t>曾馨幼</t>
  </si>
  <si>
    <t>時薪</t>
  </si>
  <si>
    <t>0922297795</t>
  </si>
  <si>
    <t>新北市私立五棵松居家長照機構     2023年10月     員工拆帳明細表</t>
  </si>
  <si>
    <t>拆帳金額</t>
    <phoneticPr fontId="16" type="noConversion"/>
  </si>
  <si>
    <t>李美慧</t>
  </si>
  <si>
    <t>雷秀花</t>
  </si>
  <si>
    <t>劉玉麟</t>
  </si>
  <si>
    <t>謝惇</t>
  </si>
  <si>
    <t>一般價格</t>
  </si>
  <si>
    <t>照顧困難之服務加計</t>
  </si>
  <si>
    <t>AA05(10712)</t>
  </si>
  <si>
    <t>例假日服務</t>
  </si>
  <si>
    <t>AA09</t>
  </si>
  <si>
    <t>照顧服務員進階訓練</t>
  </si>
  <si>
    <t>AA11</t>
  </si>
  <si>
    <t>建立時間: 2024/1/31上午 01:46:32</t>
  </si>
  <si>
    <t>新北市私立五棵松居家長照機構     2023年11月     員工拆帳明細表</t>
  </si>
  <si>
    <t>錢淑儀</t>
  </si>
  <si>
    <t>建立時間: 2024/1/31上午 02:36:09</t>
  </si>
  <si>
    <t>新北市私立五棵松居家長照機構     2023年12月     員工拆帳明細表</t>
  </si>
  <si>
    <t>張吳材妹</t>
  </si>
  <si>
    <t>建立時間: 2024/1/31上午 02:51:10</t>
  </si>
  <si>
    <t>$     200(60)</t>
    <phoneticPr fontId="16" type="noConversion"/>
  </si>
  <si>
    <t>112年第4季AA碼獎金=</t>
    <phoneticPr fontId="16" type="noConversion"/>
  </si>
  <si>
    <t>每月碼別/次數/金額詳細及同天服務拆碼加減帳,請參考 AA碼季獎金 頁面</t>
  </si>
  <si>
    <t>F224490326</t>
  </si>
  <si>
    <t>699513899681</t>
  </si>
  <si>
    <t>延長加班+例假日服務時數     (g)</t>
    <phoneticPr fontId="43" type="noConversion"/>
  </si>
  <si>
    <t>勞保費(45800)                        (k)</t>
  </si>
  <si>
    <t>黃碧娟</t>
  </si>
  <si>
    <t>家庭照顧功能微弱之服務加計</t>
  </si>
  <si>
    <t>AA07(10712)</t>
  </si>
  <si>
    <t>勞保費()                                   (k)</t>
  </si>
  <si>
    <t>建立時間: 2024/4/30上午 12:47:47</t>
  </si>
  <si>
    <t>新北市私立五棵松居家長照機構     2024年01月     員工拆帳明細表</t>
  </si>
  <si>
    <t>建立時間: 2024/4/30上午 02:02:46</t>
  </si>
  <si>
    <t>新北市私立五棵松居家長照機構     2024年02月     員工拆帳明細表</t>
  </si>
  <si>
    <t>李元勳</t>
  </si>
  <si>
    <t>張偉良</t>
  </si>
  <si>
    <t>張陳碧霞</t>
  </si>
  <si>
    <t>陳巧雲</t>
  </si>
  <si>
    <t>建立時間: 2024/4/30上午 02:28:32</t>
  </si>
  <si>
    <t>新北市私立五棵松居家長照機構     2024年03月     員工拆帳明細表</t>
  </si>
  <si>
    <t>113年第1季AA碼獎金=</t>
    <phoneticPr fontId="16" type="noConversion"/>
  </si>
  <si>
    <t>新北市私立五棵松居家長照機構     2024年04月     員工拆帳明細表</t>
  </si>
  <si>
    <t>建立時間: 2024/7/29</t>
  </si>
  <si>
    <t>新北市私立五棵松居家長照機構     2024年05月     員工拆帳明細表</t>
  </si>
  <si>
    <t>王曾翠瑛</t>
  </si>
  <si>
    <t>嚴素菁</t>
  </si>
  <si>
    <t>建立時間: 2024/8/19</t>
  </si>
  <si>
    <t>新北市私立五棵松居家長照機構     2024年06月     員工拆帳明細表</t>
  </si>
  <si>
    <t>建立時間: 2024/8/20</t>
  </si>
  <si>
    <t>113年第2季AA碼獎金=</t>
    <phoneticPr fontId="16" type="noConversion"/>
  </si>
  <si>
    <t>F224490326</t>
    <phoneticPr fontId="16" type="noConversion"/>
  </si>
  <si>
    <t>699513899681</t>
    <phoneticPr fontId="16" type="noConversion"/>
  </si>
  <si>
    <t>健保費(53000)                         (l)</t>
  </si>
  <si>
    <t>新北市私立五棵松居家長照機構     2024年07月     員工拆帳明細表</t>
  </si>
  <si>
    <t>建立時間: 2024/10/24</t>
  </si>
  <si>
    <t>新北市私立五棵松居家長照機構     2024年08月     員工拆帳明細表</t>
  </si>
  <si>
    <t>新北市私立五棵松居家長照機構     2024年09月     員工拆帳明細表</t>
  </si>
  <si>
    <t>113年第3季AA碼獎金=</t>
    <phoneticPr fontId="16" type="noConversion"/>
  </si>
  <si>
    <t>健保費()                                    (l)</t>
  </si>
  <si>
    <t>1130801</t>
  </si>
  <si>
    <t>劉小萍</t>
  </si>
  <si>
    <t>劉小萍　　　</t>
  </si>
  <si>
    <t>卓美鳳</t>
  </si>
  <si>
    <t>113年12月</t>
  </si>
  <si>
    <t>新北市私立五棵松居家長照機構     2024年10月     員工拆帳明細表</t>
  </si>
  <si>
    <t>建立時間: 2025/1/21</t>
  </si>
  <si>
    <t>新北市私立五棵松居家長照機構     2024年11月     員工拆帳明細表</t>
  </si>
  <si>
    <t>林許千枝</t>
  </si>
  <si>
    <t>新北市私立五棵松居家長照機構     2024年12月     員工拆帳明細表</t>
  </si>
  <si>
    <t>建立時間: 2025/1/22</t>
  </si>
  <si>
    <t>113年第4季AA碼獎金=</t>
    <phoneticPr fontId="16" type="noConversion"/>
  </si>
  <si>
    <t>113年12月(2)</t>
  </si>
  <si>
    <t>113年第4季政策鼓勵獎金</t>
    <phoneticPr fontId="16" type="noConversion"/>
  </si>
  <si>
    <t>廖麒翔</t>
  </si>
  <si>
    <t>廖麒翔　　　</t>
  </si>
  <si>
    <t>周宥樺</t>
  </si>
  <si>
    <t>114年1月</t>
  </si>
  <si>
    <t>鄭聖諺</t>
  </si>
  <si>
    <t>鄭聖諺　　　</t>
  </si>
  <si>
    <t>黃月娥</t>
  </si>
  <si>
    <t>114年2月</t>
  </si>
  <si>
    <t>1.機構調整勞/健保及職災/勞退逕調投保級距, 以113年10~12月平均薪資為本之季調, 已於114/02/01生效.</t>
  </si>
  <si>
    <t>113/08/01</t>
  </si>
  <si>
    <t xml:space="preserve"> </t>
  </si>
  <si>
    <t>連曉琪</t>
  </si>
  <si>
    <t>連曉琪　　　</t>
  </si>
  <si>
    <t>114年3月</t>
  </si>
  <si>
    <t>新北市私立五棵松居家長照機構     2025年01月     員工拆帳明細表</t>
  </si>
  <si>
    <t>建立時間: 2025/4/21</t>
  </si>
  <si>
    <t>新北市私立五棵松居家長照機構     2025年02月     員工拆帳明細表</t>
  </si>
  <si>
    <t>新北市私立五棵松居家長照機構     2025年03月     員工拆帳明細表</t>
  </si>
  <si>
    <t>114年第1季AA碼獎金=</t>
    <phoneticPr fontId="16" type="noConversion"/>
  </si>
  <si>
    <t>114年3月(2)</t>
  </si>
  <si>
    <t>114年第1季政策鼓勵獎金</t>
    <phoneticPr fontId="16" type="noConversion"/>
  </si>
  <si>
    <t>余建美</t>
  </si>
  <si>
    <t>余建美　　　</t>
  </si>
  <si>
    <t>114年4月</t>
  </si>
  <si>
    <t>王麗雯</t>
  </si>
  <si>
    <t>吳虹儒</t>
  </si>
  <si>
    <t>吳虹儒　　　</t>
  </si>
  <si>
    <t>114年5月</t>
  </si>
  <si>
    <t>員工名稱</t>
    <phoneticPr fontId="16" type="noConversion"/>
  </si>
  <si>
    <t>地址</t>
    <phoneticPr fontId="16" type="noConversion"/>
  </si>
  <si>
    <r>
      <t xml:space="preserve">1.機構調整勞/健保及職災/勞退逕調投保級距, 以114年1~3月平均薪資為本之季調, 已於114/05/01生效.
</t>
    </r>
    <r>
      <rPr>
        <b/>
        <sz val="11"/>
        <color rgb="FFFF0000"/>
        <rFont val="微軟正黑體"/>
        <family val="2"/>
        <charset val="136"/>
      </rPr>
      <t>2.補發五一假日薪資計算為平日薪資差額：7.82H*$200=$1564元
6/25己發 $49618 於6/27補發$1564元</t>
    </r>
    <phoneticPr fontId="16" type="noConversion"/>
  </si>
  <si>
    <t>劉嘉琳</t>
  </si>
  <si>
    <t>劉嘉琳　　　</t>
  </si>
  <si>
    <t>楊麗芹</t>
  </si>
  <si>
    <t>114年6月</t>
  </si>
  <si>
    <t>新北市私立五棵松居家長照機構     2025年04月     員工拆帳明細表</t>
  </si>
  <si>
    <t>建立時間: 2025/7/28</t>
  </si>
  <si>
    <t>新北市私立五棵松居家長照機構     2025年05月     員工拆帳明細表</t>
  </si>
  <si>
    <t>新北市私立五棵松居家長照機構     2025年06月     員工拆帳明細表</t>
  </si>
  <si>
    <t>114年第2季AA碼獎金=</t>
    <phoneticPr fontId="16" type="noConversion"/>
  </si>
  <si>
    <t>114年6月(2)</t>
  </si>
  <si>
    <t>114年第2季政策鼓勵獎金</t>
    <phoneticPr fontId="16" type="noConversion"/>
  </si>
  <si>
    <t>王沛慈</t>
  </si>
  <si>
    <t>王沛慈　　　</t>
  </si>
  <si>
    <t>114年7月</t>
  </si>
  <si>
    <t>114/08/01</t>
  </si>
  <si>
    <t>林佩潔</t>
  </si>
  <si>
    <t>林佩潔　　　</t>
  </si>
  <si>
    <t>陳得聖</t>
  </si>
  <si>
    <t>114年8月</t>
  </si>
  <si>
    <t>機構調整勞/健保及職災/勞退逕調投保級距, 以114年4~6月平均薪資為本之季調, 已於114/08/01生效.</t>
  </si>
  <si>
    <t>健保費(55400)                         (l)</t>
    <phoneticPr fontId="16" type="noConversion"/>
  </si>
  <si>
    <t>114年9月</t>
  </si>
  <si>
    <t>健保費(55400)                         (l)</t>
  </si>
  <si>
    <t>新北市私立五棵松居家長照機構     2025年07月     員工拆帳明細表</t>
  </si>
  <si>
    <t>建立時間: 2025/10/28</t>
  </si>
  <si>
    <t>新北市私立五棵松居家長照機構     2025年08月     員工拆帳明細表</t>
  </si>
  <si>
    <t>新北市私立五棵松居家長照機構     2025年09月     員工拆帳明細表</t>
  </si>
  <si>
    <t>廖梅</t>
  </si>
  <si>
    <t>114年第3季AA碼獎金=</t>
    <phoneticPr fontId="16" type="noConversion"/>
  </si>
  <si>
    <t>114年9月(2)</t>
  </si>
  <si>
    <t>114年第3季政策鼓勵獎金</t>
    <phoneticPr fontId="16" type="noConversion"/>
  </si>
  <si>
    <t>114年10月</t>
  </si>
  <si>
    <t>114/11/01</t>
  </si>
  <si>
    <t>黃奕傑</t>
  </si>
  <si>
    <t>114年11月</t>
  </si>
  <si>
    <t>健保費(50600)                         (l)</t>
  </si>
  <si>
    <t>1.機構調整勞/健保及職災/勞退逕調投保級距, 以114年7~9月平均薪資為本之季調, 已於114/11/01生效.</t>
  </si>
  <si>
    <t>114年12月</t>
  </si>
  <si>
    <t>建立時間: 2026/1/28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</si>
</sst>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0.00_);[Red]\(0.00\)"/>
    <numFmt numFmtId="179" formatCode="_-&quot;$&quot;* #,##0_-;\-&quot;$&quot;* #,##0_-;_-&quot;$&quot;* &quot;-&quot;??_-;_-@_-"/>
    <numFmt numFmtId="180" formatCode="0.00_);\(0.00\)"/>
    <numFmt numFmtId="181" formatCode="&quot;$&quot;#,##0.00"/>
    <numFmt numFmtId="182" formatCode="0_);[Red]\(0\)"/>
    <numFmt numFmtId="183" formatCode="#,##0_);[Red]\(#,##0\)"/>
    <numFmt numFmtId="184" formatCode="_(&quot;$&quot;* #,##0_);_(&quot;$&quot;* \(#,##0\);_(&quot;$&quot;* &quot;-&quot;??_);_(@_)"/>
    <numFmt numFmtId="185" formatCode="[$-404]e/m/d;@"/>
    <numFmt numFmtId="186" formatCode="&quot;$&quot;#,##0"/>
    <numFmt numFmtId="187" formatCode="[$-404]ggge&quot;年&quot;m&quot;月&quot;d&quot;日&quot;;@"/>
  </numFmts>
  <fonts count="64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0"/>
      <color indexed="64"/>
      <name val="Microsoft YaHei"/>
      <family val="2"/>
      <charset val="136"/>
    </font>
    <font>
      <sz val="10"/>
      <color theme="1"/>
      <name val="Microsoft JhengHei UI"/>
      <family val="2"/>
      <charset val="136"/>
    </font>
    <font>
      <sz val="10"/>
      <color rgb="FF000000"/>
      <name val="Microsoft JhengHei UI"/>
      <family val="2"/>
      <charset val="136"/>
    </font>
    <font>
      <sz val="10"/>
      <color indexed="64"/>
      <name val="Microsoft JhengHei UI"/>
      <family val="2"/>
      <charset val="136"/>
    </font>
    <font>
      <sz val="11"/>
      <color theme="1"/>
      <name val="新細明體"/>
      <family val="2"/>
      <scheme val="minor"/>
    </font>
    <font>
      <sz val="10"/>
      <name val="Microsoft YaHei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1"/>
      <name val="新細明體"/>
      <family val="2"/>
      <charset val="136"/>
      <scheme val="minor"/>
    </font>
    <font>
      <b/>
      <sz val="18"/>
      <color theme="1"/>
      <name val="微軟正黑體"/>
      <family val="2"/>
      <charset val="136"/>
    </font>
    <font>
      <sz val="18"/>
      <color theme="1"/>
      <name val="新細明體"/>
      <family val="2"/>
      <charset val="136"/>
      <scheme val="minor"/>
    </font>
    <font>
      <b/>
      <sz val="10"/>
      <color theme="1"/>
      <name val="微軟正黑體"/>
      <family val="2"/>
      <charset val="136"/>
    </font>
    <font>
      <b/>
      <sz val="10"/>
      <color theme="1"/>
      <name val="新細明體"/>
      <family val="2"/>
      <charset val="136"/>
      <scheme val="minor"/>
    </font>
    <font>
      <b/>
      <sz val="10"/>
      <color rgb="FF000000"/>
      <name val="Microsoft JhengHei UI"/>
      <family val="2"/>
      <charset val="136"/>
    </font>
    <font>
      <sz val="9"/>
      <name val="Microsoft YaHei"/>
      <family val="2"/>
      <charset val="136"/>
    </font>
    <font>
      <b/>
      <sz val="10"/>
      <color indexed="64"/>
      <name val="Microsoft JhengHei UI"/>
      <family val="2"/>
      <charset val="136"/>
    </font>
    <font>
      <sz val="11"/>
      <color indexed="64"/>
      <name val="Microsoft YaHei"/>
      <family val="2"/>
      <charset val="136"/>
    </font>
    <font>
      <b/>
      <sz val="10"/>
      <color theme="4" tint="-0.249977111117893"/>
      <name val="Microsoft JhengHei UI"/>
      <family val="2"/>
      <charset val="136"/>
    </font>
    <font>
      <b/>
      <sz val="10"/>
      <color theme="8" tint="-0.499984740745262"/>
      <name val="Microsoft JhengHei UI"/>
      <family val="2"/>
      <charset val="136"/>
    </font>
    <font>
      <b/>
      <sz val="10"/>
      <name val="Microsoft JhengHei UI"/>
      <family val="2"/>
      <charset val="136"/>
    </font>
    <font>
      <b/>
      <sz val="10"/>
      <color theme="1"/>
      <name val="Microsoft JhengHei UI"/>
      <family val="2"/>
      <charset val="136"/>
    </font>
    <font>
      <b/>
      <sz val="10"/>
      <color rgb="FFFF0000"/>
      <name val="Microsoft JhengHei UI"/>
      <family val="2"/>
      <charset val="136"/>
    </font>
    <font>
      <b/>
      <sz val="14"/>
      <color theme="9" tint="-0.249977111117893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微軟正黑體"/>
      <family val="2"/>
      <charset val="136"/>
    </font>
    <font>
      <sz val="10"/>
      <name val="Microsoft JhengHei UI"/>
      <family val="2"/>
      <charset val="136"/>
    </font>
    <font>
      <sz val="8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theme="1"/>
      <name val="Microsoft JhengHei UI"/>
      <family val="2"/>
      <charset val="136"/>
    </font>
    <font>
      <sz val="12"/>
      <name val="Microsoft JhengHei UI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theme="1"/>
      <name val="Microsoft JhengHei UI"/>
      <family val="2"/>
      <charset val="136"/>
    </font>
    <font>
      <b/>
      <sz val="12"/>
      <name val="Microsoft JhengHei UI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1"/>
      <color rgb="FFFF0000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19" fillId="0" borderId="0">
      <alignment vertical="center"/>
    </xf>
    <xf numFmtId="177" fontId="1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25" fillId="0" borderId="0"/>
    <xf numFmtId="0" fontId="15" fillId="0" borderId="0"/>
    <xf numFmtId="177" fontId="15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53" fillId="0" borderId="0">
      <alignment vertical="center"/>
    </xf>
  </cellStyleXfs>
  <cellXfs count="240">
    <xf numFmtId="0" fontId="0" fillId="0" borderId="0" xfId="0">
      <alignment vertical="center"/>
    </xf>
    <xf numFmtId="0" fontId="21" fillId="0" borderId="0" xfId="4">
      <alignment vertical="center"/>
    </xf>
    <xf numFmtId="0" fontId="21" fillId="0" borderId="0" xfId="4" applyAlignment="1">
      <alignment horizontal="center" vertical="center"/>
    </xf>
    <xf numFmtId="0" fontId="21" fillId="0" borderId="0" xfId="4" applyAlignment="1">
      <alignment horizontal="left" vertical="center"/>
    </xf>
    <xf numFmtId="180" fontId="21" fillId="0" borderId="0" xfId="4" applyNumberFormat="1" applyAlignment="1">
      <alignment horizontal="center" vertical="center"/>
    </xf>
    <xf numFmtId="179" fontId="21" fillId="0" borderId="0" xfId="4" applyNumberFormat="1">
      <alignment vertical="center"/>
    </xf>
    <xf numFmtId="0" fontId="15" fillId="0" borderId="0" xfId="5">
      <alignment vertical="center"/>
    </xf>
    <xf numFmtId="0" fontId="22" fillId="0" borderId="0" xfId="5" applyFont="1" applyAlignment="1">
      <alignment horizontal="center" vertical="center"/>
    </xf>
    <xf numFmtId="0" fontId="15" fillId="0" borderId="0" xfId="5" applyAlignment="1">
      <alignment horizontal="center" vertical="center"/>
    </xf>
    <xf numFmtId="49" fontId="15" fillId="0" borderId="0" xfId="5" applyNumberFormat="1" applyAlignment="1">
      <alignment horizontal="center" vertical="center"/>
    </xf>
    <xf numFmtId="179" fontId="21" fillId="0" borderId="0" xfId="4" applyNumberFormat="1" applyAlignment="1">
      <alignment horizontal="center" vertical="center"/>
    </xf>
    <xf numFmtId="0" fontId="23" fillId="0" borderId="0" xfId="4" applyFont="1">
      <alignment vertical="center"/>
    </xf>
    <xf numFmtId="0" fontId="26" fillId="0" borderId="0" xfId="4" applyFont="1" applyAlignment="1">
      <alignment horizontal="center" vertical="center"/>
    </xf>
    <xf numFmtId="180" fontId="21" fillId="0" borderId="0" xfId="4" applyNumberFormat="1">
      <alignment vertical="center"/>
    </xf>
    <xf numFmtId="178" fontId="21" fillId="0" borderId="0" xfId="4" applyNumberFormat="1">
      <alignment vertical="center"/>
    </xf>
    <xf numFmtId="179" fontId="15" fillId="0" borderId="0" xfId="5" applyNumberFormat="1" applyAlignment="1">
      <alignment horizontal="center" vertical="center"/>
    </xf>
    <xf numFmtId="178" fontId="15" fillId="0" borderId="0" xfId="5" applyNumberFormat="1">
      <alignment vertical="center"/>
    </xf>
    <xf numFmtId="0" fontId="20" fillId="0" borderId="0" xfId="0" applyFont="1" applyAlignment="1"/>
    <xf numFmtId="0" fontId="27" fillId="0" borderId="0" xfId="0" applyFont="1" applyAlignment="1"/>
    <xf numFmtId="0" fontId="24" fillId="0" borderId="0" xfId="4" applyFont="1" applyAlignment="1">
      <alignment horizontal="center" vertical="center"/>
    </xf>
    <xf numFmtId="181" fontId="17" fillId="5" borderId="2" xfId="0" applyNumberFormat="1" applyFont="1" applyFill="1" applyBorder="1" applyAlignment="1">
      <alignment horizontal="center" vertical="center"/>
    </xf>
    <xf numFmtId="181" fontId="18" fillId="5" borderId="2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textRotation="255"/>
    </xf>
    <xf numFmtId="0" fontId="18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vertical="center" wrapText="1"/>
    </xf>
    <xf numFmtId="176" fontId="18" fillId="4" borderId="1" xfId="0" applyNumberFormat="1" applyFont="1" applyFill="1" applyBorder="1" applyAlignment="1">
      <alignment vertical="center" wrapText="1"/>
    </xf>
    <xf numFmtId="0" fontId="18" fillId="3" borderId="1" xfId="0" applyFont="1" applyFill="1" applyBorder="1">
      <alignment vertical="center"/>
    </xf>
    <xf numFmtId="177" fontId="18" fillId="7" borderId="1" xfId="0" applyNumberFormat="1" applyFont="1" applyFill="1" applyBorder="1">
      <alignment vertical="center"/>
    </xf>
    <xf numFmtId="0" fontId="20" fillId="0" borderId="1" xfId="0" applyFont="1" applyBorder="1" applyAlignment="1">
      <alignment horizontal="center" vertical="center"/>
    </xf>
    <xf numFmtId="0" fontId="23" fillId="0" borderId="0" xfId="4" applyFont="1" applyAlignment="1">
      <alignment horizontal="center" vertical="center"/>
    </xf>
    <xf numFmtId="179" fontId="21" fillId="0" borderId="0" xfId="4" applyNumberFormat="1" applyAlignment="1">
      <alignment horizontal="left" vertical="center"/>
    </xf>
    <xf numFmtId="14" fontId="21" fillId="0" borderId="0" xfId="4" applyNumberFormat="1" applyAlignment="1">
      <alignment horizontal="center" vertical="center"/>
    </xf>
    <xf numFmtId="179" fontId="24" fillId="5" borderId="1" xfId="4" applyNumberFormat="1" applyFont="1" applyFill="1" applyBorder="1" applyAlignment="1">
      <alignment horizontal="center" vertical="center"/>
    </xf>
    <xf numFmtId="179" fontId="24" fillId="5" borderId="1" xfId="4" applyNumberFormat="1" applyFont="1" applyFill="1" applyBorder="1">
      <alignment vertical="center"/>
    </xf>
    <xf numFmtId="0" fontId="36" fillId="0" borderId="0" xfId="4" applyFont="1">
      <alignment vertical="center"/>
    </xf>
    <xf numFmtId="49" fontId="22" fillId="0" borderId="0" xfId="5" applyNumberFormat="1" applyFont="1" applyAlignment="1">
      <alignment horizontal="center" vertical="center"/>
    </xf>
    <xf numFmtId="179" fontId="22" fillId="0" borderId="0" xfId="5" applyNumberFormat="1" applyFont="1">
      <alignment vertical="center"/>
    </xf>
    <xf numFmtId="179" fontId="22" fillId="0" borderId="0" xfId="5" applyNumberFormat="1" applyFont="1" applyAlignment="1">
      <alignment horizontal="center" vertical="center"/>
    </xf>
    <xf numFmtId="0" fontId="22" fillId="0" borderId="0" xfId="5" applyFont="1">
      <alignment vertical="center"/>
    </xf>
    <xf numFmtId="179" fontId="15" fillId="0" borderId="0" xfId="5" applyNumberFormat="1">
      <alignment vertical="center"/>
    </xf>
    <xf numFmtId="0" fontId="0" fillId="0" borderId="0" xfId="0" applyAlignment="1">
      <alignment horizontal="center" vertical="center"/>
    </xf>
    <xf numFmtId="0" fontId="20" fillId="2" borderId="1" xfId="0" applyFont="1" applyFill="1" applyBorder="1" applyAlignment="1"/>
    <xf numFmtId="0" fontId="20" fillId="0" borderId="1" xfId="0" applyFont="1" applyBorder="1" applyAlignment="1"/>
    <xf numFmtId="179" fontId="44" fillId="0" borderId="9" xfId="2" applyNumberFormat="1" applyFont="1" applyFill="1" applyBorder="1" applyAlignment="1">
      <alignment horizontal="right" vertical="center"/>
    </xf>
    <xf numFmtId="178" fontId="44" fillId="0" borderId="9" xfId="2" applyNumberFormat="1" applyFont="1" applyFill="1" applyBorder="1" applyAlignment="1">
      <alignment horizontal="right" vertical="center"/>
    </xf>
    <xf numFmtId="0" fontId="20" fillId="0" borderId="1" xfId="0" applyFont="1" applyBorder="1" applyAlignment="1">
      <alignment wrapText="1"/>
    </xf>
    <xf numFmtId="179" fontId="44" fillId="0" borderId="9" xfId="0" applyNumberFormat="1" applyFont="1" applyBorder="1" applyAlignment="1">
      <alignment horizontal="right"/>
    </xf>
    <xf numFmtId="178" fontId="44" fillId="0" borderId="9" xfId="1" applyNumberFormat="1" applyFont="1" applyBorder="1" applyAlignment="1">
      <alignment horizontal="right" vertical="center"/>
    </xf>
    <xf numFmtId="179" fontId="20" fillId="0" borderId="9" xfId="3" applyNumberFormat="1" applyFont="1" applyBorder="1">
      <alignment vertical="center"/>
    </xf>
    <xf numFmtId="0" fontId="18" fillId="0" borderId="11" xfId="0" applyFont="1" applyBorder="1" applyAlignment="1">
      <alignment horizontal="center" vertical="center"/>
    </xf>
    <xf numFmtId="0" fontId="18" fillId="2" borderId="12" xfId="0" applyFont="1" applyFill="1" applyBorder="1" applyAlignment="1">
      <alignment horizontal="center"/>
    </xf>
    <xf numFmtId="179" fontId="20" fillId="2" borderId="9" xfId="4" applyNumberFormat="1" applyFont="1" applyFill="1" applyBorder="1" applyAlignment="1">
      <alignment horizontal="center" vertical="center"/>
    </xf>
    <xf numFmtId="179" fontId="20" fillId="0" borderId="9" xfId="5" applyNumberFormat="1" applyFont="1" applyBorder="1">
      <alignment vertical="center"/>
    </xf>
    <xf numFmtId="0" fontId="18" fillId="3" borderId="12" xfId="0" applyFont="1" applyFill="1" applyBorder="1" applyAlignment="1">
      <alignment horizontal="center"/>
    </xf>
    <xf numFmtId="0" fontId="20" fillId="3" borderId="1" xfId="0" applyFont="1" applyFill="1" applyBorder="1" applyAlignment="1"/>
    <xf numFmtId="179" fontId="44" fillId="0" borderId="9" xfId="1" applyNumberFormat="1" applyFont="1" applyBorder="1" applyAlignment="1">
      <alignment horizontal="right" vertical="center"/>
    </xf>
    <xf numFmtId="0" fontId="18" fillId="0" borderId="12" xfId="0" applyFont="1" applyBorder="1" applyAlignment="1">
      <alignment horizontal="center"/>
    </xf>
    <xf numFmtId="179" fontId="20" fillId="0" borderId="9" xfId="1" applyNumberFormat="1" applyFont="1" applyBorder="1" applyAlignment="1">
      <alignment horizontal="right" vertical="center"/>
    </xf>
    <xf numFmtId="0" fontId="18" fillId="11" borderId="12" xfId="0" applyFont="1" applyFill="1" applyBorder="1" applyAlignment="1">
      <alignment horizontal="center"/>
    </xf>
    <xf numFmtId="0" fontId="47" fillId="11" borderId="1" xfId="0" applyFont="1" applyFill="1" applyBorder="1" applyAlignment="1"/>
    <xf numFmtId="179" fontId="47" fillId="11" borderId="9" xfId="2" applyNumberFormat="1" applyFont="1" applyFill="1" applyBorder="1" applyAlignment="1">
      <alignment horizontal="right" vertical="center"/>
    </xf>
    <xf numFmtId="0" fontId="18" fillId="0" borderId="8" xfId="0" applyFont="1" applyBorder="1" applyAlignment="1">
      <alignment horizontal="center"/>
    </xf>
    <xf numFmtId="0" fontId="20" fillId="0" borderId="13" xfId="0" applyFont="1" applyBorder="1" applyAlignment="1"/>
    <xf numFmtId="179" fontId="20" fillId="0" borderId="14" xfId="0" applyNumberFormat="1" applyFont="1" applyBorder="1" applyAlignment="1">
      <alignment horizontal="right"/>
    </xf>
    <xf numFmtId="0" fontId="18" fillId="4" borderId="15" xfId="0" applyFont="1" applyFill="1" applyBorder="1" applyAlignment="1">
      <alignment horizontal="center"/>
    </xf>
    <xf numFmtId="0" fontId="20" fillId="4" borderId="16" xfId="0" applyFont="1" applyFill="1" applyBorder="1" applyAlignment="1"/>
    <xf numFmtId="179" fontId="20" fillId="8" borderId="17" xfId="0" applyNumberFormat="1" applyFont="1" applyFill="1" applyBorder="1" applyAlignment="1">
      <alignment horizontal="right"/>
    </xf>
    <xf numFmtId="0" fontId="18" fillId="0" borderId="18" xfId="0" applyFont="1" applyBorder="1" applyAlignment="1">
      <alignment horizontal="center" vertical="center"/>
    </xf>
    <xf numFmtId="0" fontId="33" fillId="0" borderId="13" xfId="4" applyFont="1" applyBorder="1" applyAlignment="1">
      <alignment horizontal="center" vertical="center" wrapText="1"/>
    </xf>
    <xf numFmtId="0" fontId="35" fillId="0" borderId="13" xfId="4" applyFont="1" applyBorder="1" applyAlignment="1">
      <alignment horizontal="center" vertical="center" wrapText="1"/>
    </xf>
    <xf numFmtId="49" fontId="33" fillId="0" borderId="13" xfId="4" applyNumberFormat="1" applyFont="1" applyBorder="1" applyAlignment="1">
      <alignment horizontal="center" vertical="center" wrapText="1"/>
    </xf>
    <xf numFmtId="179" fontId="35" fillId="0" borderId="13" xfId="4" applyNumberFormat="1" applyFont="1" applyBorder="1" applyAlignment="1">
      <alignment horizontal="center" vertical="center" wrapText="1"/>
    </xf>
    <xf numFmtId="180" fontId="33" fillId="0" borderId="13" xfId="4" applyNumberFormat="1" applyFont="1" applyBorder="1" applyAlignment="1">
      <alignment horizontal="center" vertical="center" wrapText="1"/>
    </xf>
    <xf numFmtId="180" fontId="33" fillId="8" borderId="13" xfId="4" applyNumberFormat="1" applyFont="1" applyFill="1" applyBorder="1" applyAlignment="1">
      <alignment horizontal="center" vertical="center" wrapText="1"/>
    </xf>
    <xf numFmtId="180" fontId="39" fillId="0" borderId="13" xfId="4" applyNumberFormat="1" applyFont="1" applyBorder="1" applyAlignment="1">
      <alignment horizontal="center" vertical="center" wrapText="1"/>
    </xf>
    <xf numFmtId="178" fontId="33" fillId="0" borderId="13" xfId="4" applyNumberFormat="1" applyFont="1" applyBorder="1" applyAlignment="1">
      <alignment horizontal="center" vertical="center" wrapText="1"/>
    </xf>
    <xf numFmtId="179" fontId="40" fillId="0" borderId="13" xfId="14" applyNumberFormat="1" applyFont="1" applyFill="1" applyBorder="1" applyAlignment="1">
      <alignment horizontal="center" vertical="center" wrapText="1"/>
    </xf>
    <xf numFmtId="179" fontId="35" fillId="9" borderId="13" xfId="4" applyNumberFormat="1" applyFont="1" applyFill="1" applyBorder="1" applyAlignment="1">
      <alignment horizontal="center" vertical="center" wrapText="1"/>
    </xf>
    <xf numFmtId="14" fontId="35" fillId="0" borderId="13" xfId="4" applyNumberFormat="1" applyFont="1" applyBorder="1" applyAlignment="1">
      <alignment horizontal="center" vertical="center" wrapText="1"/>
    </xf>
    <xf numFmtId="182" fontId="35" fillId="0" borderId="13" xfId="4" applyNumberFormat="1" applyFont="1" applyBorder="1" applyAlignment="1">
      <alignment horizontal="center" vertical="center" wrapText="1"/>
    </xf>
    <xf numFmtId="0" fontId="35" fillId="0" borderId="13" xfId="4" applyFont="1" applyBorder="1" applyAlignment="1">
      <alignment horizontal="center" vertical="center"/>
    </xf>
    <xf numFmtId="179" fontId="35" fillId="0" borderId="13" xfId="4" applyNumberFormat="1" applyFont="1" applyBorder="1" applyAlignment="1">
      <alignment horizontal="center" vertical="center"/>
    </xf>
    <xf numFmtId="179" fontId="41" fillId="10" borderId="13" xfId="4" applyNumberFormat="1" applyFont="1" applyFill="1" applyBorder="1" applyAlignment="1">
      <alignment horizontal="center" vertical="center"/>
    </xf>
    <xf numFmtId="179" fontId="50" fillId="0" borderId="0" xfId="0" applyNumberFormat="1" applyFont="1" applyAlignment="1">
      <alignment horizontal="center" vertical="center"/>
    </xf>
    <xf numFmtId="179" fontId="22" fillId="0" borderId="0" xfId="10" applyNumberFormat="1" applyFont="1">
      <alignment vertical="center"/>
    </xf>
    <xf numFmtId="184" fontId="22" fillId="0" borderId="0" xfId="13" applyNumberFormat="1" applyFont="1">
      <alignment vertical="center"/>
    </xf>
    <xf numFmtId="184" fontId="22" fillId="0" borderId="0" xfId="13" applyNumberFormat="1" applyFont="1" applyAlignment="1">
      <alignment horizontal="center" vertical="center"/>
    </xf>
    <xf numFmtId="179" fontId="50" fillId="0" borderId="1" xfId="0" applyNumberFormat="1" applyFont="1" applyBorder="1">
      <alignment vertical="center"/>
    </xf>
    <xf numFmtId="179" fontId="50" fillId="0" borderId="1" xfId="5" applyNumberFormat="1" applyFont="1" applyBorder="1" applyAlignment="1">
      <alignment horizontal="center" vertical="center"/>
    </xf>
    <xf numFmtId="179" fontId="52" fillId="0" borderId="1" xfId="5" applyNumberFormat="1" applyFont="1" applyBorder="1" applyAlignment="1">
      <alignment horizontal="center" vertical="center"/>
    </xf>
    <xf numFmtId="179" fontId="50" fillId="0" borderId="1" xfId="0" applyNumberFormat="1" applyFont="1" applyBorder="1" applyAlignment="1">
      <alignment horizontal="center" vertical="center"/>
    </xf>
    <xf numFmtId="179" fontId="15" fillId="0" borderId="0" xfId="13" applyNumberFormat="1">
      <alignment vertical="center"/>
    </xf>
    <xf numFmtId="184" fontId="15" fillId="0" borderId="0" xfId="13" applyNumberFormat="1">
      <alignment vertical="center"/>
    </xf>
    <xf numFmtId="184" fontId="15" fillId="0" borderId="0" xfId="13" applyNumberFormat="1" applyAlignment="1">
      <alignment horizontal="center" vertical="center"/>
    </xf>
    <xf numFmtId="179" fontId="15" fillId="0" borderId="0" xfId="13" applyNumberFormat="1" applyAlignment="1">
      <alignment horizontal="center" vertical="center"/>
    </xf>
    <xf numFmtId="176" fontId="45" fillId="0" borderId="9" xfId="1" applyNumberFormat="1" applyFont="1" applyBorder="1" applyAlignment="1">
      <alignment horizontal="center" vertical="center"/>
    </xf>
    <xf numFmtId="179" fontId="44" fillId="0" borderId="9" xfId="2" applyNumberFormat="1" applyFont="1" applyBorder="1" applyAlignment="1">
      <alignment horizontal="right" vertical="center"/>
    </xf>
    <xf numFmtId="0" fontId="20" fillId="0" borderId="0" xfId="0" applyFont="1">
      <alignment vertical="center"/>
    </xf>
    <xf numFmtId="183" fontId="55" fillId="0" borderId="6" xfId="1" applyNumberFormat="1" applyFont="1" applyBorder="1" applyAlignment="1">
      <alignment horizontal="center" vertical="center"/>
    </xf>
    <xf numFmtId="183" fontId="54" fillId="0" borderId="7" xfId="1" applyNumberFormat="1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179" fontId="39" fillId="0" borderId="13" xfId="4" applyNumberFormat="1" applyFont="1" applyBorder="1" applyAlignment="1">
      <alignment horizontal="center" vertical="center" wrapText="1"/>
    </xf>
    <xf numFmtId="179" fontId="35" fillId="0" borderId="21" xfId="4" applyNumberFormat="1" applyFont="1" applyBorder="1" applyAlignment="1">
      <alignment horizontal="center" vertical="center"/>
    </xf>
    <xf numFmtId="179" fontId="33" fillId="0" borderId="13" xfId="4" applyNumberFormat="1" applyFont="1" applyBorder="1" applyAlignment="1">
      <alignment horizontal="center" vertical="center" wrapText="1"/>
    </xf>
    <xf numFmtId="180" fontId="22" fillId="0" borderId="0" xfId="5" applyNumberFormat="1" applyFont="1" applyAlignment="1">
      <alignment horizontal="center" vertical="center"/>
    </xf>
    <xf numFmtId="182" fontId="22" fillId="0" borderId="0" xfId="5" applyNumberFormat="1" applyFont="1" applyAlignment="1">
      <alignment horizontal="center" vertical="center"/>
    </xf>
    <xf numFmtId="178" fontId="22" fillId="0" borderId="0" xfId="5" applyNumberFormat="1" applyFont="1" applyAlignment="1">
      <alignment horizontal="center" vertical="center"/>
    </xf>
    <xf numFmtId="184" fontId="22" fillId="0" borderId="0" xfId="5" applyNumberFormat="1" applyFont="1" applyAlignment="1">
      <alignment horizontal="center" vertical="center"/>
    </xf>
    <xf numFmtId="177" fontId="18" fillId="4" borderId="1" xfId="13" applyFont="1" applyFill="1" applyBorder="1" applyAlignment="1">
      <alignment vertical="center" wrapText="1"/>
    </xf>
    <xf numFmtId="0" fontId="56" fillId="0" borderId="0" xfId="5" applyFont="1">
      <alignment vertical="center"/>
    </xf>
    <xf numFmtId="181" fontId="56" fillId="0" borderId="0" xfId="5" applyNumberFormat="1" applyFont="1" applyAlignment="1">
      <alignment horizontal="center" vertical="center"/>
    </xf>
    <xf numFmtId="0" fontId="22" fillId="0" borderId="13" xfId="5" applyFont="1" applyBorder="1" applyAlignment="1">
      <alignment horizontal="center" vertical="center"/>
    </xf>
    <xf numFmtId="49" fontId="22" fillId="0" borderId="13" xfId="5" applyNumberFormat="1" applyFont="1" applyBorder="1" applyAlignment="1">
      <alignment horizontal="center" vertical="center"/>
    </xf>
    <xf numFmtId="176" fontId="22" fillId="0" borderId="13" xfId="5" applyNumberFormat="1" applyFont="1" applyBorder="1" applyAlignment="1">
      <alignment horizontal="center" vertical="center"/>
    </xf>
    <xf numFmtId="177" fontId="22" fillId="0" borderId="13" xfId="5" applyNumberFormat="1" applyFont="1" applyBorder="1" applyAlignment="1">
      <alignment horizontal="center" vertical="center"/>
    </xf>
    <xf numFmtId="179" fontId="22" fillId="0" borderId="13" xfId="5" applyNumberFormat="1" applyFont="1" applyBorder="1" applyAlignment="1">
      <alignment horizontal="center" vertical="center"/>
    </xf>
    <xf numFmtId="180" fontId="22" fillId="0" borderId="13" xfId="5" applyNumberFormat="1" applyFont="1" applyBorder="1" applyAlignment="1">
      <alignment horizontal="center" vertical="center"/>
    </xf>
    <xf numFmtId="185" fontId="22" fillId="0" borderId="13" xfId="5" applyNumberFormat="1" applyFont="1" applyBorder="1" applyAlignment="1">
      <alignment horizontal="center" vertical="center"/>
    </xf>
    <xf numFmtId="182" fontId="22" fillId="0" borderId="13" xfId="5" applyNumberFormat="1" applyFont="1" applyBorder="1" applyAlignment="1">
      <alignment horizontal="center" vertical="center"/>
    </xf>
    <xf numFmtId="0" fontId="47" fillId="0" borderId="1" xfId="0" applyFont="1" applyBorder="1" applyAlignment="1"/>
    <xf numFmtId="179" fontId="47" fillId="0" borderId="9" xfId="3" applyNumberFormat="1" applyFont="1" applyBorder="1">
      <alignment vertical="center"/>
    </xf>
    <xf numFmtId="0" fontId="57" fillId="0" borderId="5" xfId="0" applyFont="1" applyBorder="1" applyAlignment="1">
      <alignment horizontal="center" vertical="center"/>
    </xf>
    <xf numFmtId="183" fontId="58" fillId="0" borderId="6" xfId="1" applyNumberFormat="1" applyFont="1" applyBorder="1" applyAlignment="1">
      <alignment horizontal="center" vertical="center"/>
    </xf>
    <xf numFmtId="183" fontId="57" fillId="0" borderId="7" xfId="1" applyNumberFormat="1" applyFont="1" applyBorder="1" applyAlignment="1">
      <alignment horizontal="center" vertical="center"/>
    </xf>
    <xf numFmtId="38" fontId="22" fillId="0" borderId="0" xfId="5" applyNumberFormat="1" applyFont="1" applyAlignment="1">
      <alignment horizontal="center" vertical="center"/>
    </xf>
    <xf numFmtId="186" fontId="56" fillId="0" borderId="0" xfId="5" applyNumberFormat="1" applyFont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 textRotation="255"/>
    </xf>
    <xf numFmtId="0" fontId="14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3" fillId="2" borderId="1" xfId="0" applyFont="1" applyFill="1" applyBorder="1" applyAlignment="1">
      <alignment horizontal="center" vertical="center" textRotation="255"/>
    </xf>
    <xf numFmtId="0" fontId="13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 textRotation="255"/>
    </xf>
    <xf numFmtId="0" fontId="12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9" fontId="52" fillId="0" borderId="1" xfId="5" applyNumberFormat="1" applyFont="1" applyBorder="1" applyAlignment="1">
      <alignment horizontal="center" vertical="center" wrapText="1"/>
    </xf>
    <xf numFmtId="0" fontId="15" fillId="0" borderId="1" xfId="5" applyBorder="1">
      <alignment vertical="center"/>
    </xf>
    <xf numFmtId="0" fontId="50" fillId="0" borderId="0" xfId="0" applyFont="1" applyAlignment="1">
      <alignment horizontal="center" vertical="center"/>
    </xf>
    <xf numFmtId="182" fontId="22" fillId="0" borderId="0" xfId="5" applyNumberFormat="1" applyFont="1">
      <alignment vertical="center"/>
    </xf>
    <xf numFmtId="184" fontId="22" fillId="0" borderId="0" xfId="5" applyNumberFormat="1" applyFont="1">
      <alignment vertical="center"/>
    </xf>
    <xf numFmtId="49" fontId="22" fillId="0" borderId="0" xfId="5" applyNumberFormat="1" applyFont="1">
      <alignment vertical="center"/>
    </xf>
    <xf numFmtId="178" fontId="22" fillId="0" borderId="0" xfId="5" applyNumberFormat="1" applyFont="1">
      <alignment vertical="center"/>
    </xf>
    <xf numFmtId="38" fontId="22" fillId="0" borderId="0" xfId="5" applyNumberFormat="1" applyFont="1">
      <alignment vertical="center"/>
    </xf>
    <xf numFmtId="187" fontId="22" fillId="0" borderId="0" xfId="5" applyNumberFormat="1" applyFont="1">
      <alignment vertical="center"/>
    </xf>
    <xf numFmtId="176" fontId="22" fillId="0" borderId="13" xfId="5" applyNumberFormat="1" applyFont="1" applyBorder="1">
      <alignment vertical="center"/>
    </xf>
    <xf numFmtId="177" fontId="22" fillId="0" borderId="13" xfId="5" applyNumberFormat="1" applyFont="1" applyBorder="1">
      <alignment vertical="center"/>
    </xf>
    <xf numFmtId="179" fontId="22" fillId="0" borderId="13" xfId="5" applyNumberFormat="1" applyFont="1" applyBorder="1">
      <alignment vertical="center"/>
    </xf>
    <xf numFmtId="182" fontId="22" fillId="0" borderId="13" xfId="5" applyNumberFormat="1" applyFont="1" applyBorder="1">
      <alignment vertical="center"/>
    </xf>
    <xf numFmtId="0" fontId="11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 textRotation="255"/>
    </xf>
    <xf numFmtId="0" fontId="11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0" fillId="2" borderId="1" xfId="0" applyFont="1" applyFill="1" applyBorder="1" applyAlignment="1">
      <alignment horizontal="center" vertical="center" textRotation="255"/>
    </xf>
    <xf numFmtId="0" fontId="10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 textRotation="255"/>
    </xf>
    <xf numFmtId="0" fontId="9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2" fillId="0" borderId="1" xfId="5" applyFont="1" applyBorder="1" applyAlignment="1">
      <alignment horizontal="center" vertical="center"/>
    </xf>
    <xf numFmtId="176" fontId="22" fillId="0" borderId="0" xfId="5" applyNumberFormat="1" applyFont="1">
      <alignment vertical="center"/>
    </xf>
    <xf numFmtId="177" fontId="22" fillId="0" borderId="0" xfId="5" applyNumberFormat="1" applyFont="1">
      <alignment vertical="center"/>
    </xf>
    <xf numFmtId="185" fontId="22" fillId="0" borderId="0" xfId="5" applyNumberFormat="1" applyFont="1" applyAlignment="1">
      <alignment horizontal="center" vertical="center"/>
    </xf>
    <xf numFmtId="49" fontId="22" fillId="0" borderId="1" xfId="5" applyNumberFormat="1" applyFont="1" applyBorder="1" applyAlignment="1">
      <alignment horizontal="center" vertical="center"/>
    </xf>
    <xf numFmtId="176" fontId="22" fillId="0" borderId="1" xfId="5" applyNumberFormat="1" applyFont="1" applyBorder="1">
      <alignment vertical="center"/>
    </xf>
    <xf numFmtId="177" fontId="22" fillId="0" borderId="1" xfId="5" applyNumberFormat="1" applyFont="1" applyBorder="1">
      <alignment vertical="center"/>
    </xf>
    <xf numFmtId="179" fontId="22" fillId="0" borderId="1" xfId="5" applyNumberFormat="1" applyFont="1" applyBorder="1">
      <alignment vertical="center"/>
    </xf>
    <xf numFmtId="179" fontId="22" fillId="0" borderId="1" xfId="5" applyNumberFormat="1" applyFont="1" applyBorder="1" applyAlignment="1">
      <alignment horizontal="center" vertical="center"/>
    </xf>
    <xf numFmtId="180" fontId="22" fillId="0" borderId="1" xfId="5" applyNumberFormat="1" applyFont="1" applyBorder="1" applyAlignment="1">
      <alignment horizontal="center" vertical="center"/>
    </xf>
    <xf numFmtId="182" fontId="50" fillId="0" borderId="23" xfId="15" applyNumberFormat="1" applyFont="1" applyBorder="1">
      <alignment vertical="center"/>
    </xf>
    <xf numFmtId="182" fontId="50" fillId="0" borderId="23" xfId="15" applyNumberFormat="1" applyFont="1" applyBorder="1" applyAlignment="1">
      <alignment horizontal="center" vertical="center"/>
    </xf>
    <xf numFmtId="179" fontId="50" fillId="0" borderId="23" xfId="15" applyNumberFormat="1" applyFont="1" applyBorder="1" applyAlignment="1">
      <alignment horizontal="center" vertical="center"/>
    </xf>
    <xf numFmtId="182" fontId="22" fillId="0" borderId="1" xfId="5" applyNumberFormat="1" applyFont="1" applyBorder="1">
      <alignment vertical="center"/>
    </xf>
    <xf numFmtId="0" fontId="22" fillId="0" borderId="24" xfId="5" applyFont="1" applyBorder="1">
      <alignment vertical="center"/>
    </xf>
    <xf numFmtId="184" fontId="22" fillId="0" borderId="24" xfId="5" applyNumberFormat="1" applyFont="1" applyBorder="1">
      <alignment vertical="center"/>
    </xf>
    <xf numFmtId="179" fontId="22" fillId="0" borderId="24" xfId="5" applyNumberFormat="1" applyFont="1" applyBorder="1">
      <alignment vertical="center"/>
    </xf>
    <xf numFmtId="182" fontId="22" fillId="0" borderId="24" xfId="5" applyNumberFormat="1" applyFont="1" applyBorder="1">
      <alignment vertical="center"/>
    </xf>
    <xf numFmtId="49" fontId="22" fillId="0" borderId="24" xfId="5" applyNumberFormat="1" applyFont="1" applyBorder="1">
      <alignment vertical="center"/>
    </xf>
    <xf numFmtId="178" fontId="22" fillId="0" borderId="24" xfId="5" applyNumberFormat="1" applyFont="1" applyBorder="1">
      <alignment vertical="center"/>
    </xf>
    <xf numFmtId="187" fontId="22" fillId="0" borderId="24" xfId="5" applyNumberFormat="1" applyFont="1" applyBorder="1">
      <alignment vertical="center"/>
    </xf>
    <xf numFmtId="38" fontId="22" fillId="0" borderId="24" xfId="5" applyNumberFormat="1" applyFont="1" applyBorder="1">
      <alignment vertical="center"/>
    </xf>
    <xf numFmtId="0" fontId="8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 textRotation="255"/>
    </xf>
    <xf numFmtId="0" fontId="8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 textRotation="255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textRotation="255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2" fillId="0" borderId="13" xfId="5" applyFont="1" applyBorder="1">
      <alignment vertical="center"/>
    </xf>
    <xf numFmtId="0" fontId="5" fillId="0" borderId="1" xfId="0" applyFont="1" applyBorder="1" applyAlignment="1"/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textRotation="255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textRotation="255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textRotation="255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2" fontId="22" fillId="0" borderId="1" xfId="5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48" fillId="0" borderId="19" xfId="0" applyFont="1" applyBorder="1" applyAlignment="1">
      <alignment vertical="center" wrapText="1"/>
    </xf>
    <xf numFmtId="0" fontId="49" fillId="0" borderId="20" xfId="0" applyFont="1" applyBorder="1" applyAlignment="1">
      <alignment vertical="center" wrapText="1"/>
    </xf>
    <xf numFmtId="0" fontId="31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33" fillId="2" borderId="2" xfId="4" applyFont="1" applyFill="1" applyBorder="1" applyAlignment="1">
      <alignment horizontal="center" vertical="center"/>
    </xf>
    <xf numFmtId="0" fontId="33" fillId="2" borderId="3" xfId="4" applyFont="1" applyFill="1" applyBorder="1" applyAlignment="1">
      <alignment horizontal="center" vertical="center"/>
    </xf>
    <xf numFmtId="0" fontId="33" fillId="2" borderId="4" xfId="4" applyFont="1" applyFill="1" applyBorder="1" applyAlignment="1">
      <alignment horizontal="center" vertical="center"/>
    </xf>
    <xf numFmtId="0" fontId="33" fillId="4" borderId="2" xfId="4" applyFont="1" applyFill="1" applyBorder="1" applyAlignment="1">
      <alignment horizontal="center" vertical="center"/>
    </xf>
    <xf numFmtId="0" fontId="33" fillId="4" borderId="3" xfId="4" applyFont="1" applyFill="1" applyBorder="1" applyAlignment="1">
      <alignment horizontal="center" vertical="center"/>
    </xf>
    <xf numFmtId="0" fontId="33" fillId="4" borderId="4" xfId="4" applyFont="1" applyFill="1" applyBorder="1" applyAlignment="1">
      <alignment horizontal="center" vertical="center"/>
    </xf>
    <xf numFmtId="0" fontId="35" fillId="3" borderId="2" xfId="4" applyFont="1" applyFill="1" applyBorder="1" applyAlignment="1">
      <alignment horizontal="center" vertical="center"/>
    </xf>
    <xf numFmtId="0" fontId="35" fillId="3" borderId="3" xfId="4" applyFont="1" applyFill="1" applyBorder="1" applyAlignment="1">
      <alignment horizontal="center" vertical="center"/>
    </xf>
    <xf numFmtId="0" fontId="35" fillId="3" borderId="4" xfId="4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9" fillId="5" borderId="2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7">
    <cellStyle name="一般" xfId="0" builtinId="0"/>
    <cellStyle name="一般 11" xfId="7" xr:uid="{7FCE9560-012E-4986-90FC-42DCF019851C}"/>
    <cellStyle name="一般 13" xfId="8" xr:uid="{685C8DA5-D80F-4B5D-AD5D-2948B06CB109}"/>
    <cellStyle name="一般 2" xfId="4" xr:uid="{61654DC7-111B-4046-A929-8053B060503A}"/>
    <cellStyle name="一般 2 2 2" xfId="16" xr:uid="{DE488AC7-DFB0-4467-B0F1-DE6C40BAB152}"/>
    <cellStyle name="一般 3" xfId="1" xr:uid="{BB44780C-6290-4354-9E68-36CCB366A8C9}"/>
    <cellStyle name="一般 4" xfId="9" xr:uid="{5C5DD100-AA3A-41F3-A3E0-CC2260728995}"/>
    <cellStyle name="一般 5" xfId="11" xr:uid="{97E5FFDB-7A8C-40E2-B1BF-43B444067134}"/>
    <cellStyle name="一般 6" xfId="12" xr:uid="{8A2DECA9-A2F7-4315-B5A1-44B29935647D}"/>
    <cellStyle name="一般 7" xfId="3" xr:uid="{B0B1E50A-5641-45EB-AABE-BC44047D7144}"/>
    <cellStyle name="一般 7 2" xfId="6" xr:uid="{ADBDF8CE-A1ED-4FF3-A385-BE704FB0E5FD}"/>
    <cellStyle name="一般 9 2" xfId="5" xr:uid="{EF4360E6-29D3-4D43-80CE-E2C730E363F8}"/>
    <cellStyle name="百分比" xfId="15" builtinId="5"/>
    <cellStyle name="貨幣" xfId="13" builtinId="4"/>
    <cellStyle name="貨幣 2" xfId="2" xr:uid="{30D92C4F-615E-4050-A75A-9433CB7403C6}"/>
    <cellStyle name="貨幣 3" xfId="10" xr:uid="{229D0A2D-D000-49F8-ADE9-32D28CDECC88}"/>
    <cellStyle name="貨幣 4" xfId="14" xr:uid="{5CCE0781-E817-46FB-885B-0D9565860E88}"/>
  </cellStyles>
  <dxfs count="0"/>
  <tableStyles count="0" defaultTableStyle="TableStyleMedium2" defaultPivotStyle="PivotStyleLight16"/>
  <colors>
    <mruColors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2C8DC10-07DB-4F46-9E2D-B0337B97F2A4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E0575442-5633-4CBD-87AB-1E88E859AA5A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4A330807-E89B-4352-9AB9-BEB81F2AE53D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151B1E99-577F-48FB-8BC6-2634AA0FF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CF7BA283-D7AB-4388-A18B-731FEF21E872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4F51075-785F-49A2-AABF-FF9216C1E4D3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9CCCAF19-7BEC-41C4-B05D-88D62AA12B37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38D4F47F-7B4B-471D-B949-77EF3698A670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C7BF765A-3FFA-46CB-8F8D-5FCBFBE1E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79DA4197-A012-4E03-A92E-2194191A3344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101442C-C18D-42D9-A959-4CE1CF5D359C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DC1E7B0E-92DA-4E98-99B9-ED5AA76A3A12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E8E24FA9-C0D0-4C0C-89CD-9D13456FC25A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CD34E136-2EBC-4559-B034-EC7896CD2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48A7448D-575C-4121-9790-E2F1993B4EEB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1A4F777-0976-49B8-B69A-7DB5B9AD7D59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E78C36AF-B23C-48A5-8FD9-713775C1DF56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AF455771-F5C9-46E3-B39A-8886ADD31651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B692D159-D54E-4B66-864B-44A58841C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A14A02A4-CECB-4C88-AE09-D52122FA291F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44B7CBC-34C3-43D1-99A2-4A29E0C6F497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52DC5058-2AAD-45CE-A34C-63802E721F25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65D9F95B-B594-4600-BF4C-2E3C42DC2C4D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53F3759-D5A6-4542-A221-F7713C365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48E66400-CB41-4082-B65E-2787FD718B59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0A98881-4393-48F6-ABA4-20E665E64169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A056D52F-71BF-4036-B5F1-0E2C7B759B89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6BB57CB7-0302-454B-9815-31FEDCB594E2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568CCDEC-5E90-4A60-B682-466B2AA1E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366986EE-6BE7-481E-9C54-5FC8BCF72D1A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27B5BED-C1A2-4858-A710-6182A8921100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5664C45A-776C-485A-922D-021F3A495F24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3687E1B0-F250-4096-9833-A7D1735BF47C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293BC066-9FF9-46B5-8B4C-928D22381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8C11EDD9-2447-42DD-A58E-E0185A3D3769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043DE3F-3318-4750-8B25-A8E750F2F0D9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5F1BC12B-F043-44FB-A8B0-73DF6B6012CE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B0938A27-CE5D-4DB3-B5A8-4ACD987DBE13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DB6E2836-974E-450F-BB8F-DD573A0E1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0235FA27-980F-475B-A060-DDBA6F8ED145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0C0C8A2-01B7-4574-9529-25871D6D3399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BBF7DF68-36B4-490C-86BE-138692A1982A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BF458D15-DC69-4F25-BBB9-BE1EF3F94D3F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50F1F0C-5234-400D-9C7C-37CEBF341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E44D659B-6705-4521-B08C-10C1618CA99D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E2EE085-41A5-47EF-8AAF-9757D85F91EF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28A208BE-1B39-48CC-8330-7E96C7EF8427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05B66120-FA26-4FA8-8E4E-069C30D9B589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7D3C035-38FC-4909-966B-C1057DF48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F4CB300D-98AA-4155-90A1-E6B7AA0AAE1D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171EB7D-E625-43ED-BAA2-D741237FF310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F4FB64DF-2378-44E8-97F5-F88DFCF45538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30F2419B-09B7-4803-8498-1DAD7C42C773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9EC033D-C8CF-45EA-9DFA-A3FD838F6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067AD383-8E8E-4064-BA80-2D91DB2C6A28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1274875-FB77-4078-8A9A-0FF4F361E95F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145AC169-786A-4F44-8A6F-076B0DEAD4F9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DD9D5C13-C062-49AE-8CED-4D73A748E1DC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F1CD15D-9A16-4E7C-B74E-BADB5BC70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C684223D-FC82-491B-83A8-A88AC485F973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5D41464-2281-4050-912F-5B0D6A2246E1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53D945C4-68E7-4A9F-803E-2E08951AA918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52CAF376-524F-48E2-BAF2-8F32C031D0B5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C152044D-8ED8-4E21-BD57-FB90CFD54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4C1422D3-485A-41EB-AA7B-C9219A73F028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EF27E36-0231-487D-8563-60A770ACE8E0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BDBC5403-DF11-41BD-BBD7-646BB66DF004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8BBACA26-CB15-4F1F-BF58-CB04C21AC453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08C7D86-1076-4C0D-926C-3EDB72A5F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A1874FD0-0794-4315-AA20-F0D42F322886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4AD7E93-DC92-4D40-8E1D-B94FEBA56E01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62496AAF-8E96-4965-A852-89E665A1BA78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47563ED6-0FAF-492F-8468-590D14C550BA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5AE0DD7A-E751-4DBE-BFF3-70B46B072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68A2DC92-0460-4456-A846-3E33A0E9D8F7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6D359FF-3820-4421-85B1-E1AF1BB7C29C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F472309C-1497-42D8-A857-08199191FA9F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C6706EA5-0036-4444-AD3D-4C222A811862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33C702B-4CBA-4DE0-8799-BE3485980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2228A344-5716-43DA-A41C-A0610C376133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4F940A8-BE00-435E-B9E1-66832B309FD5}"/>
            </a:ext>
          </a:extLst>
        </xdr:cNvPr>
        <xdr:cNvSpPr/>
      </xdr:nvSpPr>
      <xdr:spPr>
        <a:xfrm>
          <a:off x="0" y="0"/>
          <a:ext cx="4579620" cy="54991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01307123-97AE-4222-ABC6-38DEFA75A791}"/>
            </a:ext>
          </a:extLst>
        </xdr:cNvPr>
        <xdr:cNvSpPr/>
      </xdr:nvSpPr>
      <xdr:spPr>
        <a:xfrm>
          <a:off x="4109720" y="0"/>
          <a:ext cx="920750" cy="54483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02CF7F3F-ED28-4A8C-9954-045EDC8E1933}"/>
            </a:ext>
          </a:extLst>
        </xdr:cNvPr>
        <xdr:cNvSpPr/>
      </xdr:nvSpPr>
      <xdr:spPr>
        <a:xfrm>
          <a:off x="4699000" y="0"/>
          <a:ext cx="527050" cy="54483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CBB547-1DCD-453F-87E9-2C8916368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432435" cy="43180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DB5135A6-4768-4F3A-89DD-64F4B7C97C94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718560" cy="4566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929640</xdr:colOff>
      <xdr:row>3</xdr:row>
      <xdr:rowOff>1270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2602E04-F350-4655-A368-87A627BA7F97}"/>
            </a:ext>
          </a:extLst>
        </xdr:cNvPr>
        <xdr:cNvSpPr/>
      </xdr:nvSpPr>
      <xdr:spPr>
        <a:xfrm>
          <a:off x="0" y="0"/>
          <a:ext cx="1920240" cy="629920"/>
        </a:xfrm>
        <a:prstGeom prst="rect">
          <a:avLst/>
        </a:prstGeom>
        <a:solidFill>
          <a:schemeClr val="accent6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459740</xdr:colOff>
      <xdr:row>0</xdr:row>
      <xdr:rowOff>0</xdr:rowOff>
    </xdr:from>
    <xdr:to>
      <xdr:col>2</xdr:col>
      <xdr:colOff>1380490</xdr:colOff>
      <xdr:row>2</xdr:row>
      <xdr:rowOff>140970</xdr:rowOff>
    </xdr:to>
    <xdr:sp macro="" textlink="">
      <xdr:nvSpPr>
        <xdr:cNvPr id="3" name="平行四邊形 2">
          <a:extLst>
            <a:ext uri="{FF2B5EF4-FFF2-40B4-BE49-F238E27FC236}">
              <a16:creationId xmlns:a16="http://schemas.microsoft.com/office/drawing/2014/main" id="{34047EC3-B5FC-4DFC-8ED5-CDA72487B983}"/>
            </a:ext>
          </a:extLst>
        </xdr:cNvPr>
        <xdr:cNvSpPr/>
      </xdr:nvSpPr>
      <xdr:spPr>
        <a:xfrm>
          <a:off x="1739900" y="0"/>
          <a:ext cx="181610" cy="560070"/>
        </a:xfrm>
        <a:prstGeom prst="parallelogram">
          <a:avLst>
            <a:gd name="adj" fmla="val 77809"/>
          </a:avLst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TW" altLang="en-US"/>
        </a:p>
      </xdr:txBody>
    </xdr:sp>
    <xdr:clientData/>
  </xdr:twoCellAnchor>
  <xdr:twoCellAnchor>
    <xdr:from>
      <xdr:col>2</xdr:col>
      <xdr:colOff>1049020</xdr:colOff>
      <xdr:row>0</xdr:row>
      <xdr:rowOff>0</xdr:rowOff>
    </xdr:from>
    <xdr:to>
      <xdr:col>3</xdr:col>
      <xdr:colOff>13970</xdr:colOff>
      <xdr:row>2</xdr:row>
      <xdr:rowOff>140970</xdr:rowOff>
    </xdr:to>
    <xdr:sp macro="" textlink="">
      <xdr:nvSpPr>
        <xdr:cNvPr id="4" name="平行四邊形 3">
          <a:extLst>
            <a:ext uri="{FF2B5EF4-FFF2-40B4-BE49-F238E27FC236}">
              <a16:creationId xmlns:a16="http://schemas.microsoft.com/office/drawing/2014/main" id="{EE87F654-E0C1-4418-B0BA-9D5E31758B3C}"/>
            </a:ext>
          </a:extLst>
        </xdr:cNvPr>
        <xdr:cNvSpPr/>
      </xdr:nvSpPr>
      <xdr:spPr>
        <a:xfrm>
          <a:off x="1921510" y="0"/>
          <a:ext cx="12700" cy="560070"/>
        </a:xfrm>
        <a:prstGeom prst="parallelogram">
          <a:avLst>
            <a:gd name="adj" fmla="val 80475"/>
          </a:avLst>
        </a:prstGeom>
        <a:solidFill>
          <a:srgbClr val="92D050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endParaRPr lang="zh-TW" sz="12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571911</xdr:colOff>
      <xdr:row>0</xdr:row>
      <xdr:rowOff>71120</xdr:rowOff>
    </xdr:from>
    <xdr:to>
      <xdr:col>0</xdr:col>
      <xdr:colOff>1004346</xdr:colOff>
      <xdr:row>2</xdr:row>
      <xdr:rowOff>91440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64B1661-0935-4197-B011-A60D40909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911" y="71120"/>
          <a:ext cx="66675" cy="439420"/>
        </a:xfrm>
        <a:prstGeom prst="rect">
          <a:avLst/>
        </a:prstGeom>
      </xdr:spPr>
    </xdr:pic>
    <xdr:clientData/>
  </xdr:twoCellAnchor>
  <xdr:twoCellAnchor>
    <xdr:from>
      <xdr:col>0</xdr:col>
      <xdr:colOff>1011675</xdr:colOff>
      <xdr:row>0</xdr:row>
      <xdr:rowOff>47520</xdr:rowOff>
    </xdr:from>
    <xdr:to>
      <xdr:col>2</xdr:col>
      <xdr:colOff>1080255</xdr:colOff>
      <xdr:row>2</xdr:row>
      <xdr:rowOff>92642</xdr:rowOff>
    </xdr:to>
    <xdr:sp macro="" textlink="">
      <xdr:nvSpPr>
        <xdr:cNvPr id="6" name="文字方塊 2">
          <a:extLst>
            <a:ext uri="{FF2B5EF4-FFF2-40B4-BE49-F238E27FC236}">
              <a16:creationId xmlns:a16="http://schemas.microsoft.com/office/drawing/2014/main" id="{3D2D1EAC-EEFF-4D8A-9F39-1A7EACE69DF7}"/>
            </a:ext>
          </a:extLst>
        </xdr:cNvPr>
        <xdr:cNvSpPr txBox="1">
          <a:spLocks noChangeArrowheads="1"/>
        </xdr:cNvSpPr>
      </xdr:nvSpPr>
      <xdr:spPr bwMode="auto">
        <a:xfrm>
          <a:off x="1011675" y="47520"/>
          <a:ext cx="3923404" cy="4664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spcAft>
              <a:spcPts val="0"/>
            </a:spcAft>
          </a:pPr>
          <a:r>
            <a:rPr lang="zh-TW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五棵松居家長照</a:t>
          </a:r>
          <a:r>
            <a:rPr lang="zh-TW" altLang="en-US" sz="1800" b="1" kern="100">
              <a:solidFill>
                <a:srgbClr val="FF9900"/>
              </a:solidFill>
              <a:effectLst/>
              <a:latin typeface="Calibri" panose="020F0502020204030204" pitchFamily="34" charset="0"/>
              <a:ea typeface="華康中圓體(P)"/>
              <a:cs typeface="Times New Roman" panose="02020603050405020304" pitchFamily="18" charset="0"/>
            </a:rPr>
            <a:t>居服薪資明細</a:t>
          </a:r>
          <a:endParaRPr lang="zh-TW" sz="1800" kern="100">
            <a:effectLst/>
            <a:latin typeface="Calibri" panose="020F0502020204030204" pitchFamily="34" charset="0"/>
            <a:ea typeface="新細明體" panose="02020500000000000000" pitchFamily="18" charset="-12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4218;&#36039;&#34920;(&#26376;&#34218;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薪資表(月薪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6D04-E06E-4A0D-8883-325F4A97B6B1}">
  <sheetPr codeName="工作表1">
    <tabColor theme="6" tint="0.79995117038483843"/>
  </sheetPr>
  <dimension ref="A3:C28"/>
  <sheetViews>
    <sheetView showGridLines="0" topLeftCell="A6" zoomScale="85" zoomScaleNormal="85" workbookViewId="0">
      <selection activeCell="B28" sqref="B28:C28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總表!$A$6</f>
        <v>113年12月</v>
      </c>
      <c r="B4" s="216"/>
      <c r="C4" s="216"/>
    </row>
    <row r="5" spans="1:3" ht="19.2" customHeight="1">
      <c r="A5" s="122" t="str">
        <f>總表!$E$6</f>
        <v>居服員</v>
      </c>
      <c r="B5" s="123" t="str">
        <f>總表!$D$6</f>
        <v>N0174</v>
      </c>
      <c r="C5" s="124" t="str">
        <f>總表!$F$6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總表!$O$6</f>
        <v>167.17</v>
      </c>
    </row>
    <row r="9" spans="1:3" ht="18.45" customHeight="1">
      <c r="A9" s="218"/>
      <c r="B9" s="42" t="s">
        <v>86</v>
      </c>
      <c r="C9" s="44">
        <f>總表!$T$6</f>
        <v>33434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總表!$P$6</f>
        <v>0.17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總表!$R$6</f>
        <v>33.83</v>
      </c>
    </row>
    <row r="14" spans="1:3" ht="18.45" customHeight="1">
      <c r="A14" s="218"/>
      <c r="B14" s="43" t="s">
        <v>82</v>
      </c>
      <c r="C14" s="97">
        <f>總表!$U$6</f>
        <v>13577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總表!$V$6</f>
        <v>10059</v>
      </c>
    </row>
    <row r="17" spans="1:3" ht="18.45" customHeight="1">
      <c r="A17" s="50" t="s">
        <v>46</v>
      </c>
      <c r="B17" s="43" t="s">
        <v>47</v>
      </c>
      <c r="C17" s="49">
        <f>總表!$W$6</f>
        <v>0</v>
      </c>
    </row>
    <row r="18" spans="1:3" ht="18.45" customHeight="1">
      <c r="A18" s="51" t="s">
        <v>48</v>
      </c>
      <c r="B18" s="42" t="s">
        <v>49</v>
      </c>
      <c r="C18" s="52">
        <f>總表!$X$6</f>
        <v>57070</v>
      </c>
    </row>
    <row r="19" spans="1:3" ht="18.45" customHeight="1">
      <c r="A19" s="217" t="s">
        <v>50</v>
      </c>
      <c r="B19" s="43" t="s">
        <v>129</v>
      </c>
      <c r="C19" s="49">
        <f>總表!$AA$6</f>
        <v>1100</v>
      </c>
    </row>
    <row r="20" spans="1:3" ht="18.45" customHeight="1">
      <c r="A20" s="218"/>
      <c r="B20" s="43" t="s">
        <v>156</v>
      </c>
      <c r="C20" s="49">
        <f>總表!$AC$6</f>
        <v>1644</v>
      </c>
    </row>
    <row r="21" spans="1:3" ht="18.45" customHeight="1">
      <c r="A21" s="218"/>
      <c r="B21" s="43" t="s">
        <v>80</v>
      </c>
      <c r="C21" s="53">
        <f>總表!$AE$6</f>
        <v>0</v>
      </c>
    </row>
    <row r="22" spans="1:3" ht="18.45" customHeight="1">
      <c r="A22" s="219"/>
      <c r="B22" s="43" t="s">
        <v>79</v>
      </c>
      <c r="C22" s="53">
        <f>總表!$AG$6</f>
        <v>0</v>
      </c>
    </row>
    <row r="23" spans="1:3" ht="18.45" customHeight="1">
      <c r="A23" s="54" t="s">
        <v>51</v>
      </c>
      <c r="B23" s="55" t="s">
        <v>52</v>
      </c>
      <c r="C23" s="56">
        <f>總表!$AH$6</f>
        <v>2744</v>
      </c>
    </row>
    <row r="24" spans="1:3" ht="18.45" customHeight="1">
      <c r="A24" s="57" t="s">
        <v>53</v>
      </c>
      <c r="B24" s="43" t="s">
        <v>54</v>
      </c>
      <c r="C24" s="58">
        <f>總表!$AJ$6</f>
        <v>0</v>
      </c>
    </row>
    <row r="25" spans="1:3" ht="18.45" customHeight="1">
      <c r="A25" s="59" t="s">
        <v>55</v>
      </c>
      <c r="B25" s="60" t="s">
        <v>56</v>
      </c>
      <c r="C25" s="61">
        <f>總表!$AK$6</f>
        <v>54326</v>
      </c>
    </row>
    <row r="26" spans="1:3" ht="18.45" customHeight="1">
      <c r="A26" s="62" t="s">
        <v>57</v>
      </c>
      <c r="B26" s="63" t="s">
        <v>58</v>
      </c>
      <c r="C26" s="64">
        <f>總表!$AL$6</f>
        <v>3180</v>
      </c>
    </row>
    <row r="27" spans="1:3" ht="18.45" customHeight="1" thickBot="1">
      <c r="A27" s="65" t="s">
        <v>59</v>
      </c>
      <c r="B27" s="66"/>
      <c r="C27" s="67">
        <f>C25+C26</f>
        <v>57506</v>
      </c>
    </row>
    <row r="28" spans="1:3" ht="98.7" customHeight="1" thickBot="1">
      <c r="A28" s="68" t="s">
        <v>60</v>
      </c>
      <c r="B28" s="220"/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CCD6-3480-4BC8-921F-9E62ABC16FDF}">
  <sheetPr codeName="工作表2">
    <tabColor theme="6" tint="0.79995117038483843"/>
  </sheetPr>
  <dimension ref="A3:C28"/>
  <sheetViews>
    <sheetView showGridLines="0" topLeftCell="A13" zoomScale="85" zoomScaleNormal="85" workbookViewId="0">
      <selection activeCell="A31" sqref="A31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總表!$A$7</f>
        <v>113年12月(2)</v>
      </c>
      <c r="B4" s="216"/>
      <c r="C4" s="216"/>
    </row>
    <row r="5" spans="1:3" ht="19.2" customHeight="1">
      <c r="A5" s="101" t="str">
        <f>總表!$E$7</f>
        <v>居服員</v>
      </c>
      <c r="B5" s="99" t="str">
        <f>總表!$D$7</f>
        <v>N0174</v>
      </c>
      <c r="C5" s="100" t="str">
        <f>總表!$F$7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/>
    </row>
    <row r="9" spans="1:3" ht="18.45" customHeight="1">
      <c r="A9" s="218"/>
      <c r="B9" s="42" t="s">
        <v>86</v>
      </c>
      <c r="C9" s="44"/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/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/>
    </row>
    <row r="14" spans="1:3" ht="18.45" customHeight="1">
      <c r="A14" s="218"/>
      <c r="B14" s="43" t="s">
        <v>82</v>
      </c>
      <c r="C14" s="97"/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/>
    </row>
    <row r="17" spans="1:3" ht="18.45" customHeight="1">
      <c r="A17" s="50" t="s">
        <v>46</v>
      </c>
      <c r="B17" s="120" t="s">
        <v>176</v>
      </c>
      <c r="C17" s="121">
        <f>總表!$W$7</f>
        <v>15420</v>
      </c>
    </row>
    <row r="18" spans="1:3" ht="18.45" customHeight="1">
      <c r="A18" s="51" t="s">
        <v>48</v>
      </c>
      <c r="B18" s="42" t="s">
        <v>49</v>
      </c>
      <c r="C18" s="52">
        <f>總表!$X$7</f>
        <v>15420</v>
      </c>
    </row>
    <row r="19" spans="1:3" ht="18.45" customHeight="1">
      <c r="A19" s="217" t="s">
        <v>50</v>
      </c>
      <c r="B19" s="43" t="s">
        <v>133</v>
      </c>
      <c r="C19" s="49"/>
    </row>
    <row r="20" spans="1:3" ht="18.45" customHeight="1">
      <c r="A20" s="218"/>
      <c r="B20" s="43" t="s">
        <v>162</v>
      </c>
      <c r="C20" s="49"/>
    </row>
    <row r="21" spans="1:3" ht="18.45" customHeight="1">
      <c r="A21" s="218"/>
      <c r="B21" s="43" t="s">
        <v>80</v>
      </c>
      <c r="C21" s="53"/>
    </row>
    <row r="22" spans="1:3" ht="18.45" customHeight="1">
      <c r="A22" s="219"/>
      <c r="B22" s="43" t="s">
        <v>79</v>
      </c>
      <c r="C22" s="53"/>
    </row>
    <row r="23" spans="1:3" ht="18.45" customHeight="1">
      <c r="A23" s="54" t="s">
        <v>51</v>
      </c>
      <c r="B23" s="55" t="s">
        <v>52</v>
      </c>
      <c r="C23" s="56">
        <f>總表!$AH$7</f>
        <v>0</v>
      </c>
    </row>
    <row r="24" spans="1:3" ht="18.45" customHeight="1">
      <c r="A24" s="57" t="s">
        <v>53</v>
      </c>
      <c r="B24" s="43" t="s">
        <v>54</v>
      </c>
      <c r="C24" s="58">
        <f>總表!$AJ$7</f>
        <v>0</v>
      </c>
    </row>
    <row r="25" spans="1:3" ht="18.45" customHeight="1">
      <c r="A25" s="59" t="s">
        <v>55</v>
      </c>
      <c r="B25" s="60" t="s">
        <v>56</v>
      </c>
      <c r="C25" s="61">
        <f>總表!$AK$7</f>
        <v>15420</v>
      </c>
    </row>
    <row r="26" spans="1:3" ht="18.45" customHeight="1">
      <c r="A26" s="62" t="s">
        <v>57</v>
      </c>
      <c r="B26" s="63" t="s">
        <v>58</v>
      </c>
      <c r="C26" s="64"/>
    </row>
    <row r="27" spans="1:3" ht="18.45" customHeight="1" thickBot="1">
      <c r="A27" s="65" t="s">
        <v>59</v>
      </c>
      <c r="B27" s="66"/>
      <c r="C27" s="67">
        <f>C25+C26</f>
        <v>15420</v>
      </c>
    </row>
    <row r="28" spans="1:3" ht="66.599999999999994" customHeight="1" thickBot="1">
      <c r="A28" s="68" t="s">
        <v>60</v>
      </c>
      <c r="B28" s="220" t="s">
        <v>125</v>
      </c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5678-203B-47C8-8EC5-AC460D173294}">
  <sheetPr codeName="工作表4">
    <tabColor theme="6" tint="0.79995117038483843"/>
  </sheetPr>
  <dimension ref="A3:C28"/>
  <sheetViews>
    <sheetView showGridLines="0" topLeftCell="A16" zoomScale="85" zoomScaleNormal="85" workbookViewId="0">
      <selection activeCell="A32" sqref="A32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總表!$A$8</f>
        <v>114年1月</v>
      </c>
      <c r="B4" s="216"/>
      <c r="C4" s="216"/>
    </row>
    <row r="5" spans="1:3" ht="19.2" customHeight="1">
      <c r="A5" s="122" t="str">
        <f>總表!$E$8</f>
        <v>居服員</v>
      </c>
      <c r="B5" s="123" t="str">
        <f>總表!$D$8</f>
        <v>N0174</v>
      </c>
      <c r="C5" s="124" t="str">
        <f>總表!$F$8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總表!$O$8</f>
        <v>119.92</v>
      </c>
    </row>
    <row r="9" spans="1:3" ht="18.45" customHeight="1">
      <c r="A9" s="218"/>
      <c r="B9" s="42" t="s">
        <v>86</v>
      </c>
      <c r="C9" s="44">
        <f>總表!$T$8</f>
        <v>23984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總表!$P$8</f>
        <v>0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總表!$R$8</f>
        <v>38.75</v>
      </c>
    </row>
    <row r="14" spans="1:3" ht="18.45" customHeight="1">
      <c r="A14" s="218"/>
      <c r="B14" s="43" t="s">
        <v>82</v>
      </c>
      <c r="C14" s="97">
        <f>總表!$U$8</f>
        <v>15500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總表!$V$8</f>
        <v>7934</v>
      </c>
    </row>
    <row r="17" spans="1:3" ht="18.45" customHeight="1">
      <c r="A17" s="50" t="s">
        <v>46</v>
      </c>
      <c r="B17" s="43" t="s">
        <v>47</v>
      </c>
      <c r="C17" s="49">
        <f>總表!$W$8</f>
        <v>0</v>
      </c>
    </row>
    <row r="18" spans="1:3" ht="18.45" customHeight="1">
      <c r="A18" s="51" t="s">
        <v>48</v>
      </c>
      <c r="B18" s="42" t="s">
        <v>49</v>
      </c>
      <c r="C18" s="52">
        <f>總表!$X$8</f>
        <v>47418</v>
      </c>
    </row>
    <row r="19" spans="1:3" ht="18.45" customHeight="1">
      <c r="A19" s="217" t="s">
        <v>50</v>
      </c>
      <c r="B19" s="43" t="s">
        <v>129</v>
      </c>
      <c r="C19" s="49">
        <f>總表!$AA$8</f>
        <v>1145</v>
      </c>
    </row>
    <row r="20" spans="1:3" ht="18.45" customHeight="1">
      <c r="A20" s="218"/>
      <c r="B20" s="43" t="s">
        <v>156</v>
      </c>
      <c r="C20" s="49">
        <f>總表!$AC$8</f>
        <v>1644</v>
      </c>
    </row>
    <row r="21" spans="1:3" ht="18.45" customHeight="1">
      <c r="A21" s="218"/>
      <c r="B21" s="43" t="s">
        <v>80</v>
      </c>
      <c r="C21" s="53">
        <f>總表!$AE$8</f>
        <v>0</v>
      </c>
    </row>
    <row r="22" spans="1:3" ht="18.45" customHeight="1">
      <c r="A22" s="219"/>
      <c r="B22" s="43" t="s">
        <v>79</v>
      </c>
      <c r="C22" s="53">
        <f>總表!$AG$8</f>
        <v>0</v>
      </c>
    </row>
    <row r="23" spans="1:3" ht="18.45" customHeight="1">
      <c r="A23" s="54" t="s">
        <v>51</v>
      </c>
      <c r="B23" s="55" t="s">
        <v>52</v>
      </c>
      <c r="C23" s="56">
        <f>總表!$AH$8</f>
        <v>2789</v>
      </c>
    </row>
    <row r="24" spans="1:3" ht="18.45" customHeight="1">
      <c r="A24" s="57" t="s">
        <v>53</v>
      </c>
      <c r="B24" s="43" t="s">
        <v>54</v>
      </c>
      <c r="C24" s="58">
        <f>總表!$AJ$8</f>
        <v>0</v>
      </c>
    </row>
    <row r="25" spans="1:3" ht="18.45" customHeight="1">
      <c r="A25" s="59" t="s">
        <v>55</v>
      </c>
      <c r="B25" s="60" t="s">
        <v>56</v>
      </c>
      <c r="C25" s="61">
        <f>總表!$AK$8</f>
        <v>44629</v>
      </c>
    </row>
    <row r="26" spans="1:3" ht="18.45" customHeight="1">
      <c r="A26" s="62" t="s">
        <v>57</v>
      </c>
      <c r="B26" s="63" t="s">
        <v>58</v>
      </c>
      <c r="C26" s="64">
        <f>總表!$AL$8</f>
        <v>3180</v>
      </c>
    </row>
    <row r="27" spans="1:3" ht="18.45" customHeight="1" thickBot="1">
      <c r="A27" s="65" t="s">
        <v>59</v>
      </c>
      <c r="B27" s="66"/>
      <c r="C27" s="67">
        <f>C25+C26</f>
        <v>47809</v>
      </c>
    </row>
    <row r="28" spans="1:3" ht="98.7" customHeight="1" thickBot="1">
      <c r="A28" s="68" t="s">
        <v>60</v>
      </c>
      <c r="B28" s="220"/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1481-AF0F-4417-8FAC-255AF83750C9}">
  <sheetPr codeName="工作表6">
    <tabColor theme="6" tint="0.79995117038483843"/>
  </sheetPr>
  <dimension ref="A3:C28"/>
  <sheetViews>
    <sheetView showGridLines="0" topLeftCell="A14" zoomScale="85" zoomScaleNormal="85" workbookViewId="0">
      <selection activeCell="E28" sqref="E28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總表!$A$9</f>
        <v>114年2月</v>
      </c>
      <c r="B4" s="216"/>
      <c r="C4" s="216"/>
    </row>
    <row r="5" spans="1:3" ht="19.2" customHeight="1">
      <c r="A5" s="122" t="str">
        <f>總表!$E$9</f>
        <v>居服員</v>
      </c>
      <c r="B5" s="123" t="str">
        <f>總表!$D$9</f>
        <v>N0174</v>
      </c>
      <c r="C5" s="124" t="str">
        <f>總表!$F$9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總表!$O$9</f>
        <v>148.33000000000001</v>
      </c>
    </row>
    <row r="9" spans="1:3" ht="18.45" customHeight="1">
      <c r="A9" s="218"/>
      <c r="B9" s="42" t="s">
        <v>86</v>
      </c>
      <c r="C9" s="44">
        <f>總表!$T$9</f>
        <v>29666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總表!$P$9</f>
        <v>0.33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總表!$R$9</f>
        <v>36.5</v>
      </c>
    </row>
    <row r="14" spans="1:3" ht="18.45" customHeight="1">
      <c r="A14" s="218"/>
      <c r="B14" s="43" t="s">
        <v>82</v>
      </c>
      <c r="C14" s="97">
        <f>總表!$U$9</f>
        <v>14688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總表!$V$9</f>
        <v>9258</v>
      </c>
    </row>
    <row r="17" spans="1:3" ht="18.45" customHeight="1">
      <c r="A17" s="50" t="s">
        <v>46</v>
      </c>
      <c r="B17" s="43" t="s">
        <v>47</v>
      </c>
      <c r="C17" s="49">
        <f>總表!$W$9</f>
        <v>0</v>
      </c>
    </row>
    <row r="18" spans="1:3" ht="18.45" customHeight="1">
      <c r="A18" s="51" t="s">
        <v>48</v>
      </c>
      <c r="B18" s="42" t="s">
        <v>49</v>
      </c>
      <c r="C18" s="52">
        <f>總表!$X$9</f>
        <v>53612</v>
      </c>
    </row>
    <row r="19" spans="1:3" ht="18.45" customHeight="1">
      <c r="A19" s="217" t="s">
        <v>50</v>
      </c>
      <c r="B19" s="43" t="s">
        <v>129</v>
      </c>
      <c r="C19" s="49">
        <f>總表!$AA$9</f>
        <v>1145</v>
      </c>
    </row>
    <row r="20" spans="1:3" ht="18.45" customHeight="1">
      <c r="A20" s="218"/>
      <c r="B20" s="43" t="s">
        <v>156</v>
      </c>
      <c r="C20" s="49">
        <f>總表!$AC$9</f>
        <v>1644</v>
      </c>
    </row>
    <row r="21" spans="1:3" ht="18.45" customHeight="1">
      <c r="A21" s="218"/>
      <c r="B21" s="43" t="s">
        <v>80</v>
      </c>
      <c r="C21" s="53">
        <f>總表!$AE$9</f>
        <v>0</v>
      </c>
    </row>
    <row r="22" spans="1:3" ht="18.45" customHeight="1">
      <c r="A22" s="219"/>
      <c r="B22" s="43" t="s">
        <v>79</v>
      </c>
      <c r="C22" s="53">
        <f>總表!$AG$9</f>
        <v>0</v>
      </c>
    </row>
    <row r="23" spans="1:3" ht="18.45" customHeight="1">
      <c r="A23" s="54" t="s">
        <v>51</v>
      </c>
      <c r="B23" s="55" t="s">
        <v>52</v>
      </c>
      <c r="C23" s="56">
        <f>總表!$AH$9</f>
        <v>2789</v>
      </c>
    </row>
    <row r="24" spans="1:3" ht="18.45" customHeight="1">
      <c r="A24" s="57" t="s">
        <v>53</v>
      </c>
      <c r="B24" s="43" t="s">
        <v>54</v>
      </c>
      <c r="C24" s="58">
        <f>總表!$AJ$9</f>
        <v>0</v>
      </c>
    </row>
    <row r="25" spans="1:3" ht="18.45" customHeight="1">
      <c r="A25" s="59" t="s">
        <v>55</v>
      </c>
      <c r="B25" s="60" t="s">
        <v>56</v>
      </c>
      <c r="C25" s="61">
        <f>總表!$AK$9</f>
        <v>50823</v>
      </c>
    </row>
    <row r="26" spans="1:3" ht="18.45" customHeight="1">
      <c r="A26" s="62" t="s">
        <v>57</v>
      </c>
      <c r="B26" s="63" t="s">
        <v>58</v>
      </c>
      <c r="C26" s="64">
        <f>總表!$AL$9</f>
        <v>3180</v>
      </c>
    </row>
    <row r="27" spans="1:3" ht="18.45" customHeight="1" thickBot="1">
      <c r="A27" s="65" t="s">
        <v>59</v>
      </c>
      <c r="B27" s="66"/>
      <c r="C27" s="67">
        <f>C25+C26</f>
        <v>54003</v>
      </c>
    </row>
    <row r="28" spans="1:3" ht="98.7" customHeight="1" thickBot="1">
      <c r="A28" s="68" t="s">
        <v>60</v>
      </c>
      <c r="B28" s="220" t="s">
        <v>185</v>
      </c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2221-EF19-49EF-B9D8-56ADE99BD12B}">
  <sheetPr codeName="工作表7">
    <tabColor theme="6" tint="0.79995117038483843"/>
  </sheetPr>
  <dimension ref="A3:C28"/>
  <sheetViews>
    <sheetView showGridLines="0" topLeftCell="A11" zoomScale="85" zoomScaleNormal="85" workbookViewId="0">
      <selection activeCell="E28" sqref="E28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總表!$A$10</f>
        <v>114年3月</v>
      </c>
      <c r="B4" s="216"/>
      <c r="C4" s="216"/>
    </row>
    <row r="5" spans="1:3" ht="19.2" customHeight="1">
      <c r="A5" s="122" t="str">
        <f>總表!$E$10</f>
        <v>居服員</v>
      </c>
      <c r="B5" s="123" t="str">
        <f>總表!$D$10</f>
        <v>N0174</v>
      </c>
      <c r="C5" s="124" t="str">
        <f>總表!$F$10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總表!$O$10</f>
        <v>160.33000000000001</v>
      </c>
    </row>
    <row r="9" spans="1:3" ht="18.45" customHeight="1">
      <c r="A9" s="218"/>
      <c r="B9" s="42" t="s">
        <v>86</v>
      </c>
      <c r="C9" s="44">
        <f>總表!$T$10</f>
        <v>32066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總表!$P$10</f>
        <v>1.67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總表!$R$10</f>
        <v>28</v>
      </c>
    </row>
    <row r="14" spans="1:3" ht="18.45" customHeight="1">
      <c r="A14" s="218"/>
      <c r="B14" s="43" t="s">
        <v>82</v>
      </c>
      <c r="C14" s="97">
        <f>總表!$U$10</f>
        <v>11702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總表!$V$10</f>
        <v>9500</v>
      </c>
    </row>
    <row r="17" spans="1:3" ht="18.45" customHeight="1">
      <c r="A17" s="50" t="s">
        <v>46</v>
      </c>
      <c r="B17" s="43" t="s">
        <v>47</v>
      </c>
      <c r="C17" s="49">
        <f>總表!$W$10</f>
        <v>0</v>
      </c>
    </row>
    <row r="18" spans="1:3" ht="18.45" customHeight="1">
      <c r="A18" s="51" t="s">
        <v>48</v>
      </c>
      <c r="B18" s="42" t="s">
        <v>49</v>
      </c>
      <c r="C18" s="52">
        <f>總表!$X$10</f>
        <v>53268</v>
      </c>
    </row>
    <row r="19" spans="1:3" ht="18.45" customHeight="1">
      <c r="A19" s="217" t="s">
        <v>50</v>
      </c>
      <c r="B19" s="43" t="s">
        <v>129</v>
      </c>
      <c r="C19" s="49">
        <f>總表!$AA$10</f>
        <v>1145</v>
      </c>
    </row>
    <row r="20" spans="1:3" ht="18.45" customHeight="1">
      <c r="A20" s="218"/>
      <c r="B20" s="43" t="s">
        <v>156</v>
      </c>
      <c r="C20" s="49">
        <f>總表!$AC$10</f>
        <v>1644</v>
      </c>
    </row>
    <row r="21" spans="1:3" ht="18.45" customHeight="1">
      <c r="A21" s="218"/>
      <c r="B21" s="43" t="s">
        <v>80</v>
      </c>
      <c r="C21" s="53">
        <f>總表!$AE$10</f>
        <v>0</v>
      </c>
    </row>
    <row r="22" spans="1:3" ht="18.45" customHeight="1">
      <c r="A22" s="219"/>
      <c r="B22" s="43" t="s">
        <v>79</v>
      </c>
      <c r="C22" s="53">
        <f>總表!$AG$10</f>
        <v>0</v>
      </c>
    </row>
    <row r="23" spans="1:3" ht="18.45" customHeight="1">
      <c r="A23" s="54" t="s">
        <v>51</v>
      </c>
      <c r="B23" s="55" t="s">
        <v>52</v>
      </c>
      <c r="C23" s="56">
        <f>總表!$AH$10</f>
        <v>2789</v>
      </c>
    </row>
    <row r="24" spans="1:3" ht="18.45" customHeight="1">
      <c r="A24" s="57" t="s">
        <v>53</v>
      </c>
      <c r="B24" s="43" t="s">
        <v>54</v>
      </c>
      <c r="C24" s="58">
        <f>總表!$AJ$10</f>
        <v>0</v>
      </c>
    </row>
    <row r="25" spans="1:3" ht="18.45" customHeight="1">
      <c r="A25" s="59" t="s">
        <v>55</v>
      </c>
      <c r="B25" s="60" t="s">
        <v>56</v>
      </c>
      <c r="C25" s="61">
        <f>總表!$AK$10</f>
        <v>50479</v>
      </c>
    </row>
    <row r="26" spans="1:3" ht="18.45" customHeight="1">
      <c r="A26" s="62" t="s">
        <v>57</v>
      </c>
      <c r="B26" s="63" t="s">
        <v>58</v>
      </c>
      <c r="C26" s="64">
        <f>總表!$AL$10</f>
        <v>3180</v>
      </c>
    </row>
    <row r="27" spans="1:3" ht="18.45" customHeight="1" thickBot="1">
      <c r="A27" s="65" t="s">
        <v>59</v>
      </c>
      <c r="B27" s="66"/>
      <c r="C27" s="67">
        <f>C25+C26</f>
        <v>53659</v>
      </c>
    </row>
    <row r="28" spans="1:3" ht="98.7" customHeight="1" thickBot="1">
      <c r="A28" s="68" t="s">
        <v>60</v>
      </c>
      <c r="B28" s="220"/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A660-8255-44C1-96A4-15CC15BB459C}">
  <sheetPr codeName="工作表8">
    <tabColor theme="6" tint="0.79995117038483843"/>
  </sheetPr>
  <dimension ref="A3:C28"/>
  <sheetViews>
    <sheetView showGridLines="0" topLeftCell="A14" zoomScale="85" zoomScaleNormal="85" workbookViewId="0">
      <selection activeCell="E23" sqref="E23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總表!$A$11</f>
        <v>114年3月(2)</v>
      </c>
      <c r="B4" s="216"/>
      <c r="C4" s="216"/>
    </row>
    <row r="5" spans="1:3" ht="19.2" customHeight="1">
      <c r="A5" s="101" t="str">
        <f>總表!$E$11</f>
        <v>居服員</v>
      </c>
      <c r="B5" s="99" t="str">
        <f>總表!$D$11</f>
        <v>N0174</v>
      </c>
      <c r="C5" s="100" t="str">
        <f>總表!$F$11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/>
    </row>
    <row r="9" spans="1:3" ht="18.45" customHeight="1">
      <c r="A9" s="218"/>
      <c r="B9" s="42" t="s">
        <v>86</v>
      </c>
      <c r="C9" s="44"/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/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/>
    </row>
    <row r="14" spans="1:3" ht="18.45" customHeight="1">
      <c r="A14" s="218"/>
      <c r="B14" s="43" t="s">
        <v>82</v>
      </c>
      <c r="C14" s="97"/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/>
    </row>
    <row r="17" spans="1:3" ht="18.45" customHeight="1">
      <c r="A17" s="50" t="s">
        <v>46</v>
      </c>
      <c r="B17" s="120" t="s">
        <v>197</v>
      </c>
      <c r="C17" s="121">
        <f>總表!$W$11</f>
        <v>13470</v>
      </c>
    </row>
    <row r="18" spans="1:3" ht="18.45" customHeight="1">
      <c r="A18" s="51" t="s">
        <v>48</v>
      </c>
      <c r="B18" s="42" t="s">
        <v>49</v>
      </c>
      <c r="C18" s="52">
        <f>總表!$X$11</f>
        <v>13470</v>
      </c>
    </row>
    <row r="19" spans="1:3" ht="18.45" customHeight="1">
      <c r="A19" s="217" t="s">
        <v>50</v>
      </c>
      <c r="B19" s="43" t="s">
        <v>133</v>
      </c>
      <c r="C19" s="49"/>
    </row>
    <row r="20" spans="1:3" ht="18.45" customHeight="1">
      <c r="A20" s="218"/>
      <c r="B20" s="43" t="s">
        <v>162</v>
      </c>
      <c r="C20" s="49"/>
    </row>
    <row r="21" spans="1:3" ht="18.45" customHeight="1">
      <c r="A21" s="218"/>
      <c r="B21" s="43" t="s">
        <v>80</v>
      </c>
      <c r="C21" s="53"/>
    </row>
    <row r="22" spans="1:3" ht="18.45" customHeight="1">
      <c r="A22" s="219"/>
      <c r="B22" s="43" t="s">
        <v>79</v>
      </c>
      <c r="C22" s="53"/>
    </row>
    <row r="23" spans="1:3" ht="18.45" customHeight="1">
      <c r="A23" s="54" t="s">
        <v>51</v>
      </c>
      <c r="B23" s="55" t="s">
        <v>52</v>
      </c>
      <c r="C23" s="56">
        <f>總表!$AH$11</f>
        <v>0</v>
      </c>
    </row>
    <row r="24" spans="1:3" ht="18.45" customHeight="1">
      <c r="A24" s="57" t="s">
        <v>53</v>
      </c>
      <c r="B24" s="43" t="s">
        <v>54</v>
      </c>
      <c r="C24" s="58">
        <f>總表!$AJ$11</f>
        <v>0</v>
      </c>
    </row>
    <row r="25" spans="1:3" ht="18.45" customHeight="1">
      <c r="A25" s="59" t="s">
        <v>55</v>
      </c>
      <c r="B25" s="60" t="s">
        <v>56</v>
      </c>
      <c r="C25" s="61">
        <f>總表!$AK$11</f>
        <v>13470</v>
      </c>
    </row>
    <row r="26" spans="1:3" ht="18.45" customHeight="1">
      <c r="A26" s="62" t="s">
        <v>57</v>
      </c>
      <c r="B26" s="63" t="s">
        <v>58</v>
      </c>
      <c r="C26" s="64"/>
    </row>
    <row r="27" spans="1:3" ht="18.45" customHeight="1" thickBot="1">
      <c r="A27" s="65" t="s">
        <v>59</v>
      </c>
      <c r="B27" s="66"/>
      <c r="C27" s="67">
        <f>C25+C26</f>
        <v>13470</v>
      </c>
    </row>
    <row r="28" spans="1:3" ht="66.599999999999994" customHeight="1" thickBot="1">
      <c r="A28" s="68" t="s">
        <v>60</v>
      </c>
      <c r="B28" s="220" t="s">
        <v>125</v>
      </c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8269-C79E-4DAE-9EF4-1681B8EEDD3D}">
  <sheetPr codeName="工作表9">
    <tabColor theme="6" tint="0.79995117038483843"/>
  </sheetPr>
  <dimension ref="A3:C28"/>
  <sheetViews>
    <sheetView showGridLines="0" zoomScale="85" zoomScaleNormal="85" workbookViewId="0">
      <selection activeCell="F21" sqref="F21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總表!$A$12</f>
        <v>114年4月</v>
      </c>
      <c r="B4" s="216"/>
      <c r="C4" s="216"/>
    </row>
    <row r="5" spans="1:3" ht="19.2" customHeight="1">
      <c r="A5" s="122" t="str">
        <f>總表!$E$12</f>
        <v>居服員</v>
      </c>
      <c r="B5" s="123" t="str">
        <f>總表!$D$12</f>
        <v>N0174</v>
      </c>
      <c r="C5" s="124" t="str">
        <f>總表!$F$12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總表!$O$12</f>
        <v>139.83000000000001</v>
      </c>
    </row>
    <row r="9" spans="1:3" ht="18.45" customHeight="1">
      <c r="A9" s="218"/>
      <c r="B9" s="42" t="s">
        <v>86</v>
      </c>
      <c r="C9" s="44">
        <f>總表!$T$12</f>
        <v>27966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總表!$P$12</f>
        <v>0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總表!$R$12</f>
        <v>48</v>
      </c>
    </row>
    <row r="14" spans="1:3" ht="18.45" customHeight="1">
      <c r="A14" s="218"/>
      <c r="B14" s="43" t="s">
        <v>82</v>
      </c>
      <c r="C14" s="97">
        <f>總表!$U$12</f>
        <v>19200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總表!$V$12</f>
        <v>9392</v>
      </c>
    </row>
    <row r="17" spans="1:3" ht="18.45" customHeight="1">
      <c r="A17" s="50" t="s">
        <v>46</v>
      </c>
      <c r="B17" s="43" t="s">
        <v>47</v>
      </c>
      <c r="C17" s="49">
        <f>總表!$W$12</f>
        <v>0</v>
      </c>
    </row>
    <row r="18" spans="1:3" ht="18.45" customHeight="1">
      <c r="A18" s="51" t="s">
        <v>48</v>
      </c>
      <c r="B18" s="42" t="s">
        <v>49</v>
      </c>
      <c r="C18" s="52">
        <f>總表!$X$12</f>
        <v>56558</v>
      </c>
    </row>
    <row r="19" spans="1:3" ht="18.45" customHeight="1">
      <c r="A19" s="217" t="s">
        <v>50</v>
      </c>
      <c r="B19" s="43" t="s">
        <v>129</v>
      </c>
      <c r="C19" s="49">
        <f>總表!$AA$12</f>
        <v>1145</v>
      </c>
    </row>
    <row r="20" spans="1:3" ht="18.45" customHeight="1">
      <c r="A20" s="218"/>
      <c r="B20" s="43" t="s">
        <v>156</v>
      </c>
      <c r="C20" s="49">
        <f>總表!$AC$12</f>
        <v>1644</v>
      </c>
    </row>
    <row r="21" spans="1:3" ht="18.45" customHeight="1">
      <c r="A21" s="218"/>
      <c r="B21" s="43" t="s">
        <v>80</v>
      </c>
      <c r="C21" s="53">
        <f>總表!$AE$12</f>
        <v>0</v>
      </c>
    </row>
    <row r="22" spans="1:3" ht="18.45" customHeight="1">
      <c r="A22" s="219"/>
      <c r="B22" s="43" t="s">
        <v>79</v>
      </c>
      <c r="C22" s="53">
        <f>總表!$AG$12</f>
        <v>0</v>
      </c>
    </row>
    <row r="23" spans="1:3" ht="18.45" customHeight="1">
      <c r="A23" s="54" t="s">
        <v>51</v>
      </c>
      <c r="B23" s="55" t="s">
        <v>52</v>
      </c>
      <c r="C23" s="56">
        <f>總表!$AH$12</f>
        <v>2789</v>
      </c>
    </row>
    <row r="24" spans="1:3" ht="18.45" customHeight="1">
      <c r="A24" s="57" t="s">
        <v>53</v>
      </c>
      <c r="B24" s="43" t="s">
        <v>54</v>
      </c>
      <c r="C24" s="58">
        <f>總表!$AJ$12</f>
        <v>0</v>
      </c>
    </row>
    <row r="25" spans="1:3" ht="18.45" customHeight="1">
      <c r="A25" s="59" t="s">
        <v>55</v>
      </c>
      <c r="B25" s="60" t="s">
        <v>56</v>
      </c>
      <c r="C25" s="61">
        <f>總表!$AK$12</f>
        <v>53769</v>
      </c>
    </row>
    <row r="26" spans="1:3" ht="18.45" customHeight="1">
      <c r="A26" s="62" t="s">
        <v>57</v>
      </c>
      <c r="B26" s="63" t="s">
        <v>58</v>
      </c>
      <c r="C26" s="64">
        <f>總表!$AL$12</f>
        <v>3180</v>
      </c>
    </row>
    <row r="27" spans="1:3" ht="18.45" customHeight="1" thickBot="1">
      <c r="A27" s="65" t="s">
        <v>59</v>
      </c>
      <c r="B27" s="66"/>
      <c r="C27" s="67">
        <f>C25+C26</f>
        <v>56949</v>
      </c>
    </row>
    <row r="28" spans="1:3" ht="98.7" customHeight="1" thickBot="1">
      <c r="A28" s="68" t="s">
        <v>60</v>
      </c>
      <c r="B28" s="220"/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037D-5926-4E0E-8975-9E68CF1B502E}">
  <sheetPr codeName="工作表11">
    <tabColor theme="6" tint="0.79995117038483843"/>
  </sheetPr>
  <dimension ref="A3:C28"/>
  <sheetViews>
    <sheetView showGridLines="0" topLeftCell="A14" zoomScale="85" zoomScaleNormal="85" workbookViewId="0">
      <selection activeCell="B28" sqref="B28:C28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總表!$A$13</f>
        <v>114年5月</v>
      </c>
      <c r="B4" s="216"/>
      <c r="C4" s="216"/>
    </row>
    <row r="5" spans="1:3" ht="19.2" customHeight="1">
      <c r="A5" s="122" t="str">
        <f>總表!$E$13</f>
        <v>居服員</v>
      </c>
      <c r="B5" s="123" t="str">
        <f>總表!$D$13</f>
        <v>N0174</v>
      </c>
      <c r="C5" s="124" t="str">
        <f>總表!$F$13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總表!$O$13</f>
        <v>116.83</v>
      </c>
    </row>
    <row r="9" spans="1:3" ht="18.45" customHeight="1">
      <c r="A9" s="218"/>
      <c r="B9" s="42" t="s">
        <v>86</v>
      </c>
      <c r="C9" s="44">
        <f>總表!$T$13</f>
        <v>23366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總表!$P$13</f>
        <v>0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總表!$R$13</f>
        <v>48.83</v>
      </c>
    </row>
    <row r="14" spans="1:3" ht="18.45" customHeight="1">
      <c r="A14" s="218"/>
      <c r="B14" s="43" t="s">
        <v>82</v>
      </c>
      <c r="C14" s="97">
        <f>總表!$U$13</f>
        <v>19532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總表!$V$13</f>
        <v>8283</v>
      </c>
    </row>
    <row r="17" spans="1:3" ht="18.45" customHeight="1">
      <c r="A17" s="50" t="s">
        <v>46</v>
      </c>
      <c r="B17" s="43" t="s">
        <v>47</v>
      </c>
      <c r="C17" s="49">
        <f>總表!$W$13</f>
        <v>0</v>
      </c>
    </row>
    <row r="18" spans="1:3" ht="18.45" customHeight="1">
      <c r="A18" s="51" t="s">
        <v>48</v>
      </c>
      <c r="B18" s="42" t="s">
        <v>49</v>
      </c>
      <c r="C18" s="52">
        <f>總表!$X$13</f>
        <v>51181</v>
      </c>
    </row>
    <row r="19" spans="1:3" ht="18.45" customHeight="1">
      <c r="A19" s="217" t="s">
        <v>50</v>
      </c>
      <c r="B19" s="43" t="s">
        <v>129</v>
      </c>
      <c r="C19" s="49">
        <f>總表!$AA$13</f>
        <v>1145</v>
      </c>
    </row>
    <row r="20" spans="1:3" ht="18.45" customHeight="1">
      <c r="A20" s="218"/>
      <c r="B20" s="43" t="s">
        <v>156</v>
      </c>
      <c r="C20" s="49">
        <f>總表!$AC$13</f>
        <v>1644</v>
      </c>
    </row>
    <row r="21" spans="1:3" ht="18.45" customHeight="1">
      <c r="A21" s="218"/>
      <c r="B21" s="43" t="s">
        <v>80</v>
      </c>
      <c r="C21" s="53">
        <f>總表!$AE$13</f>
        <v>0</v>
      </c>
    </row>
    <row r="22" spans="1:3" ht="18.45" customHeight="1">
      <c r="A22" s="219"/>
      <c r="B22" s="43" t="s">
        <v>79</v>
      </c>
      <c r="C22" s="53">
        <f>總表!$AG$13</f>
        <v>0</v>
      </c>
    </row>
    <row r="23" spans="1:3" ht="18.45" customHeight="1">
      <c r="A23" s="54" t="s">
        <v>51</v>
      </c>
      <c r="B23" s="55" t="s">
        <v>52</v>
      </c>
      <c r="C23" s="56">
        <f>總表!$AH$13</f>
        <v>2789</v>
      </c>
    </row>
    <row r="24" spans="1:3" ht="18.45" customHeight="1">
      <c r="A24" s="57" t="s">
        <v>53</v>
      </c>
      <c r="B24" s="43" t="s">
        <v>54</v>
      </c>
      <c r="C24" s="58">
        <f>總表!$AJ$13</f>
        <v>0</v>
      </c>
    </row>
    <row r="25" spans="1:3" ht="18.45" customHeight="1">
      <c r="A25" s="59" t="s">
        <v>55</v>
      </c>
      <c r="B25" s="60" t="s">
        <v>56</v>
      </c>
      <c r="C25" s="61">
        <f>總表!$AK$13</f>
        <v>48392</v>
      </c>
    </row>
    <row r="26" spans="1:3" ht="18.45" customHeight="1">
      <c r="A26" s="62" t="s">
        <v>57</v>
      </c>
      <c r="B26" s="63" t="s">
        <v>58</v>
      </c>
      <c r="C26" s="64">
        <f>總表!$AL$13</f>
        <v>3180</v>
      </c>
    </row>
    <row r="27" spans="1:3" ht="18.45" customHeight="1" thickBot="1">
      <c r="A27" s="65" t="s">
        <v>59</v>
      </c>
      <c r="B27" s="66"/>
      <c r="C27" s="67">
        <f>C25+C26</f>
        <v>51572</v>
      </c>
    </row>
    <row r="28" spans="1:3" ht="98.7" customHeight="1" thickBot="1">
      <c r="A28" s="68" t="s">
        <v>60</v>
      </c>
      <c r="B28" s="220" t="s">
        <v>207</v>
      </c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E04A-C0BB-45DB-B8DA-C067DE3531A9}">
  <sheetPr codeName="工作表12">
    <tabColor theme="6" tint="0.79995117038483843"/>
  </sheetPr>
  <dimension ref="A3:C28"/>
  <sheetViews>
    <sheetView showGridLines="0" topLeftCell="A11" zoomScale="85" zoomScaleNormal="85" workbookViewId="0">
      <selection activeCell="F28" sqref="F28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總表!$A$14</f>
        <v>114年6月</v>
      </c>
      <c r="B4" s="216"/>
      <c r="C4" s="216"/>
    </row>
    <row r="5" spans="1:3" ht="19.2" customHeight="1">
      <c r="A5" s="122" t="str">
        <f>總表!$E$14</f>
        <v>居服員</v>
      </c>
      <c r="B5" s="123" t="str">
        <f>總表!$D$14</f>
        <v>N0174</v>
      </c>
      <c r="C5" s="124" t="str">
        <f>總表!$F$14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總表!$O$14</f>
        <v>152.83000000000001</v>
      </c>
    </row>
    <row r="9" spans="1:3" ht="18.45" customHeight="1">
      <c r="A9" s="218"/>
      <c r="B9" s="42" t="s">
        <v>86</v>
      </c>
      <c r="C9" s="44">
        <f>總表!$T$14</f>
        <v>30566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總表!$P$14</f>
        <v>0.83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總表!$R$14</f>
        <v>43.83</v>
      </c>
    </row>
    <row r="14" spans="1:3" ht="18.45" customHeight="1">
      <c r="A14" s="218"/>
      <c r="B14" s="43" t="s">
        <v>82</v>
      </c>
      <c r="C14" s="97">
        <f>總表!$U$14</f>
        <v>17753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總表!$V$14</f>
        <v>9875</v>
      </c>
    </row>
    <row r="17" spans="1:3" ht="18.45" customHeight="1">
      <c r="A17" s="50" t="s">
        <v>46</v>
      </c>
      <c r="B17" s="43" t="s">
        <v>47</v>
      </c>
      <c r="C17" s="49">
        <f>總表!$W$14</f>
        <v>0</v>
      </c>
    </row>
    <row r="18" spans="1:3" ht="18.45" customHeight="1">
      <c r="A18" s="51" t="s">
        <v>48</v>
      </c>
      <c r="B18" s="42" t="s">
        <v>49</v>
      </c>
      <c r="C18" s="52">
        <f>總表!$X$14</f>
        <v>58194</v>
      </c>
    </row>
    <row r="19" spans="1:3" ht="18.45" customHeight="1">
      <c r="A19" s="217" t="s">
        <v>50</v>
      </c>
      <c r="B19" s="43" t="s">
        <v>129</v>
      </c>
      <c r="C19" s="49">
        <f>總表!$AA$14</f>
        <v>1145</v>
      </c>
    </row>
    <row r="20" spans="1:3" ht="18.45" customHeight="1">
      <c r="A20" s="218"/>
      <c r="B20" s="43" t="s">
        <v>156</v>
      </c>
      <c r="C20" s="49">
        <f>總表!$AC$14</f>
        <v>1644</v>
      </c>
    </row>
    <row r="21" spans="1:3" ht="18.45" customHeight="1">
      <c r="A21" s="218"/>
      <c r="B21" s="43" t="s">
        <v>80</v>
      </c>
      <c r="C21" s="53">
        <f>總表!$AE$14</f>
        <v>0</v>
      </c>
    </row>
    <row r="22" spans="1:3" ht="18.45" customHeight="1">
      <c r="A22" s="219"/>
      <c r="B22" s="43" t="s">
        <v>79</v>
      </c>
      <c r="C22" s="53">
        <f>總表!$AG$14</f>
        <v>0</v>
      </c>
    </row>
    <row r="23" spans="1:3" ht="18.45" customHeight="1">
      <c r="A23" s="54" t="s">
        <v>51</v>
      </c>
      <c r="B23" s="55" t="s">
        <v>52</v>
      </c>
      <c r="C23" s="56">
        <f>總表!$AH$14</f>
        <v>2789</v>
      </c>
    </row>
    <row r="24" spans="1:3" ht="18.45" customHeight="1">
      <c r="A24" s="57" t="s">
        <v>53</v>
      </c>
      <c r="B24" s="43" t="s">
        <v>54</v>
      </c>
      <c r="C24" s="58">
        <f>總表!$AJ$14</f>
        <v>0</v>
      </c>
    </row>
    <row r="25" spans="1:3" ht="18.45" customHeight="1">
      <c r="A25" s="59" t="s">
        <v>55</v>
      </c>
      <c r="B25" s="60" t="s">
        <v>56</v>
      </c>
      <c r="C25" s="61">
        <f>總表!$AK$14</f>
        <v>55405</v>
      </c>
    </row>
    <row r="26" spans="1:3" ht="18.45" customHeight="1">
      <c r="A26" s="62" t="s">
        <v>57</v>
      </c>
      <c r="B26" s="63" t="s">
        <v>58</v>
      </c>
      <c r="C26" s="64">
        <f>總表!$AL$14</f>
        <v>3180</v>
      </c>
    </row>
    <row r="27" spans="1:3" ht="18.45" customHeight="1" thickBot="1">
      <c r="A27" s="65" t="s">
        <v>59</v>
      </c>
      <c r="B27" s="66"/>
      <c r="C27" s="67">
        <f>C25+C26</f>
        <v>58585</v>
      </c>
    </row>
    <row r="28" spans="1:3" ht="98.7" customHeight="1" thickBot="1">
      <c r="A28" s="68" t="s">
        <v>60</v>
      </c>
      <c r="B28" s="220"/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535E-02D9-448A-9D82-E6BECCE03F51}">
  <sheetPr codeName="工作表13">
    <tabColor theme="6" tint="0.79995117038483843"/>
  </sheetPr>
  <dimension ref="A3:C28"/>
  <sheetViews>
    <sheetView showGridLines="0" topLeftCell="A13" zoomScale="85" zoomScaleNormal="85" workbookViewId="0">
      <selection activeCell="E28" sqref="E28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總表!$A$15</f>
        <v>114年6月(2)</v>
      </c>
      <c r="B4" s="216"/>
      <c r="C4" s="216"/>
    </row>
    <row r="5" spans="1:3" ht="19.2" customHeight="1">
      <c r="A5" s="101" t="str">
        <f>總表!$E$15</f>
        <v>居服員</v>
      </c>
      <c r="B5" s="99" t="str">
        <f>總表!$D$15</f>
        <v>N0174</v>
      </c>
      <c r="C5" s="100" t="str">
        <f>總表!$F$15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/>
    </row>
    <row r="9" spans="1:3" ht="18.45" customHeight="1">
      <c r="A9" s="218"/>
      <c r="B9" s="42" t="s">
        <v>86</v>
      </c>
      <c r="C9" s="44"/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/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/>
    </row>
    <row r="14" spans="1:3" ht="18.45" customHeight="1">
      <c r="A14" s="218"/>
      <c r="B14" s="43" t="s">
        <v>82</v>
      </c>
      <c r="C14" s="97"/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/>
    </row>
    <row r="17" spans="1:3" ht="18.45" customHeight="1">
      <c r="A17" s="50" t="s">
        <v>46</v>
      </c>
      <c r="B17" s="120" t="s">
        <v>218</v>
      </c>
      <c r="C17" s="121">
        <f>總表!$W$15</f>
        <v>11653</v>
      </c>
    </row>
    <row r="18" spans="1:3" ht="18.45" customHeight="1">
      <c r="A18" s="51" t="s">
        <v>48</v>
      </c>
      <c r="B18" s="42" t="s">
        <v>49</v>
      </c>
      <c r="C18" s="52">
        <f>總表!$X$15</f>
        <v>11653</v>
      </c>
    </row>
    <row r="19" spans="1:3" ht="18.45" customHeight="1">
      <c r="A19" s="217" t="s">
        <v>50</v>
      </c>
      <c r="B19" s="43" t="s">
        <v>133</v>
      </c>
      <c r="C19" s="49"/>
    </row>
    <row r="20" spans="1:3" ht="18.45" customHeight="1">
      <c r="A20" s="218"/>
      <c r="B20" s="43" t="s">
        <v>162</v>
      </c>
      <c r="C20" s="49"/>
    </row>
    <row r="21" spans="1:3" ht="18.45" customHeight="1">
      <c r="A21" s="218"/>
      <c r="B21" s="43" t="s">
        <v>80</v>
      </c>
      <c r="C21" s="53"/>
    </row>
    <row r="22" spans="1:3" ht="18.45" customHeight="1">
      <c r="A22" s="219"/>
      <c r="B22" s="43" t="s">
        <v>79</v>
      </c>
      <c r="C22" s="53"/>
    </row>
    <row r="23" spans="1:3" ht="18.45" customHeight="1">
      <c r="A23" s="54" t="s">
        <v>51</v>
      </c>
      <c r="B23" s="55" t="s">
        <v>52</v>
      </c>
      <c r="C23" s="56">
        <f>總表!$AH$15</f>
        <v>0</v>
      </c>
    </row>
    <row r="24" spans="1:3" ht="18.45" customHeight="1">
      <c r="A24" s="57" t="s">
        <v>53</v>
      </c>
      <c r="B24" s="43" t="s">
        <v>54</v>
      </c>
      <c r="C24" s="58">
        <f>總表!$AJ$15</f>
        <v>0</v>
      </c>
    </row>
    <row r="25" spans="1:3" ht="18.45" customHeight="1">
      <c r="A25" s="59" t="s">
        <v>55</v>
      </c>
      <c r="B25" s="60" t="s">
        <v>56</v>
      </c>
      <c r="C25" s="61">
        <f>總表!$AK$15</f>
        <v>11653</v>
      </c>
    </row>
    <row r="26" spans="1:3" ht="18.45" customHeight="1">
      <c r="A26" s="62" t="s">
        <v>57</v>
      </c>
      <c r="B26" s="63" t="s">
        <v>58</v>
      </c>
      <c r="C26" s="64"/>
    </row>
    <row r="27" spans="1:3" ht="18.45" customHeight="1" thickBot="1">
      <c r="A27" s="65" t="s">
        <v>59</v>
      </c>
      <c r="B27" s="66"/>
      <c r="C27" s="67">
        <f>C25+C26</f>
        <v>11653</v>
      </c>
    </row>
    <row r="28" spans="1:3" ht="66.599999999999994" customHeight="1" thickBot="1">
      <c r="A28" s="68" t="s">
        <v>60</v>
      </c>
      <c r="B28" s="220" t="s">
        <v>125</v>
      </c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BF41-07CC-46F5-85F7-17EF2111A511}">
  <sheetPr codeName="工作表14">
    <tabColor theme="6" tint="0.79995117038483843"/>
  </sheetPr>
  <dimension ref="A3:C28"/>
  <sheetViews>
    <sheetView showGridLines="0" topLeftCell="A13" zoomScale="85" zoomScaleNormal="85" workbookViewId="0">
      <selection activeCell="B28" sqref="B28:C28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總表!$A$16</f>
        <v>114年7月</v>
      </c>
      <c r="B4" s="216"/>
      <c r="C4" s="216"/>
    </row>
    <row r="5" spans="1:3" ht="19.2" customHeight="1">
      <c r="A5" s="122" t="str">
        <f>總表!$E$16</f>
        <v>居服員</v>
      </c>
      <c r="B5" s="123" t="str">
        <f>總表!$D$16</f>
        <v>N0174</v>
      </c>
      <c r="C5" s="124" t="str">
        <f>總表!$F$16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總表!$O$16</f>
        <v>168.33</v>
      </c>
    </row>
    <row r="9" spans="1:3" ht="18.45" customHeight="1">
      <c r="A9" s="218"/>
      <c r="B9" s="42" t="s">
        <v>86</v>
      </c>
      <c r="C9" s="44">
        <f>總表!$T$16</f>
        <v>33666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總表!$P$16</f>
        <v>0.33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總表!$R$16</f>
        <v>24</v>
      </c>
    </row>
    <row r="14" spans="1:3" ht="18.45" customHeight="1">
      <c r="A14" s="218"/>
      <c r="B14" s="43" t="s">
        <v>82</v>
      </c>
      <c r="C14" s="97">
        <f>總表!$U$16</f>
        <v>9688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總表!$V$16</f>
        <v>9633</v>
      </c>
    </row>
    <row r="17" spans="1:3" ht="18.45" customHeight="1">
      <c r="A17" s="50" t="s">
        <v>46</v>
      </c>
      <c r="B17" s="43" t="s">
        <v>47</v>
      </c>
      <c r="C17" s="49">
        <f>總表!$W$16</f>
        <v>0</v>
      </c>
    </row>
    <row r="18" spans="1:3" ht="18.45" customHeight="1">
      <c r="A18" s="51" t="s">
        <v>48</v>
      </c>
      <c r="B18" s="42" t="s">
        <v>49</v>
      </c>
      <c r="C18" s="52">
        <f>總表!$X$16</f>
        <v>52987</v>
      </c>
    </row>
    <row r="19" spans="1:3" ht="18.45" customHeight="1">
      <c r="A19" s="217" t="s">
        <v>50</v>
      </c>
      <c r="B19" s="43" t="s">
        <v>129</v>
      </c>
      <c r="C19" s="49">
        <f>總表!$AA$16</f>
        <v>1145</v>
      </c>
    </row>
    <row r="20" spans="1:3" ht="18.45" customHeight="1">
      <c r="A20" s="218"/>
      <c r="B20" s="43" t="s">
        <v>156</v>
      </c>
      <c r="C20" s="49">
        <f>總表!$AC$16</f>
        <v>1644</v>
      </c>
    </row>
    <row r="21" spans="1:3" ht="18.45" customHeight="1">
      <c r="A21" s="218"/>
      <c r="B21" s="43" t="s">
        <v>80</v>
      </c>
      <c r="C21" s="53">
        <f>總表!$AE$16</f>
        <v>0</v>
      </c>
    </row>
    <row r="22" spans="1:3" ht="18.45" customHeight="1">
      <c r="A22" s="219"/>
      <c r="B22" s="43" t="s">
        <v>79</v>
      </c>
      <c r="C22" s="53">
        <f>總表!$AG$16</f>
        <v>0</v>
      </c>
    </row>
    <row r="23" spans="1:3" ht="18.45" customHeight="1">
      <c r="A23" s="54" t="s">
        <v>51</v>
      </c>
      <c r="B23" s="55" t="s">
        <v>52</v>
      </c>
      <c r="C23" s="56">
        <f>總表!$AH$16</f>
        <v>2789</v>
      </c>
    </row>
    <row r="24" spans="1:3" ht="18.45" customHeight="1">
      <c r="A24" s="57" t="s">
        <v>53</v>
      </c>
      <c r="B24" s="43" t="s">
        <v>54</v>
      </c>
      <c r="C24" s="58">
        <f>總表!$AJ$16</f>
        <v>0</v>
      </c>
    </row>
    <row r="25" spans="1:3" ht="18.45" customHeight="1">
      <c r="A25" s="59" t="s">
        <v>55</v>
      </c>
      <c r="B25" s="60" t="s">
        <v>56</v>
      </c>
      <c r="C25" s="61">
        <f>總表!$AK$16</f>
        <v>50198</v>
      </c>
    </row>
    <row r="26" spans="1:3" ht="18.45" customHeight="1">
      <c r="A26" s="62" t="s">
        <v>57</v>
      </c>
      <c r="B26" s="63" t="s">
        <v>58</v>
      </c>
      <c r="C26" s="64">
        <f>總表!$AL$16</f>
        <v>3180</v>
      </c>
    </row>
    <row r="27" spans="1:3" ht="18.45" customHeight="1" thickBot="1">
      <c r="A27" s="65" t="s">
        <v>59</v>
      </c>
      <c r="B27" s="66"/>
      <c r="C27" s="67">
        <f>C25+C26</f>
        <v>53378</v>
      </c>
    </row>
    <row r="28" spans="1:3" ht="98.7" customHeight="1" thickBot="1">
      <c r="A28" s="68" t="s">
        <v>60</v>
      </c>
      <c r="B28" s="220"/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5DB4-F7EC-4F1C-B38F-D08FEE3068A1}">
  <sheetPr codeName="工作表15">
    <tabColor theme="6" tint="0.79995117038483843"/>
  </sheetPr>
  <dimension ref="A3:C28"/>
  <sheetViews>
    <sheetView showGridLines="0" topLeftCell="A17" zoomScale="85" zoomScaleNormal="85" workbookViewId="0">
      <selection activeCell="D28" sqref="D28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總表!$A$17</f>
        <v>114年8月</v>
      </c>
      <c r="B4" s="216"/>
      <c r="C4" s="216"/>
    </row>
    <row r="5" spans="1:3" ht="19.2" customHeight="1">
      <c r="A5" s="122" t="str">
        <f>總表!$E$17</f>
        <v>居服員</v>
      </c>
      <c r="B5" s="123" t="str">
        <f>總表!$D$17</f>
        <v>N0174</v>
      </c>
      <c r="C5" s="124" t="str">
        <f>總表!$F$17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總表!$O$17</f>
        <v>153</v>
      </c>
    </row>
    <row r="9" spans="1:3" ht="18.45" customHeight="1">
      <c r="A9" s="218"/>
      <c r="B9" s="42" t="s">
        <v>86</v>
      </c>
      <c r="C9" s="44">
        <f>總表!$T$17</f>
        <v>30600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總表!$P$17</f>
        <v>0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總表!$R$17</f>
        <v>30.5</v>
      </c>
    </row>
    <row r="14" spans="1:3" ht="18.45" customHeight="1">
      <c r="A14" s="218"/>
      <c r="B14" s="43" t="s">
        <v>82</v>
      </c>
      <c r="C14" s="97">
        <f>總表!$U$17</f>
        <v>12200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總表!$V$17</f>
        <v>9175</v>
      </c>
    </row>
    <row r="17" spans="1:3" ht="18.45" customHeight="1">
      <c r="A17" s="50" t="s">
        <v>46</v>
      </c>
      <c r="B17" s="43" t="s">
        <v>47</v>
      </c>
      <c r="C17" s="49">
        <f>總表!$W$17</f>
        <v>0</v>
      </c>
    </row>
    <row r="18" spans="1:3" ht="18.45" customHeight="1">
      <c r="A18" s="51" t="s">
        <v>48</v>
      </c>
      <c r="B18" s="42" t="s">
        <v>49</v>
      </c>
      <c r="C18" s="52">
        <f>總表!$X$17</f>
        <v>51975</v>
      </c>
    </row>
    <row r="19" spans="1:3" ht="18.45" customHeight="1">
      <c r="A19" s="217" t="s">
        <v>50</v>
      </c>
      <c r="B19" s="43" t="s">
        <v>129</v>
      </c>
      <c r="C19" s="49">
        <f>總表!$AA$17</f>
        <v>1145</v>
      </c>
    </row>
    <row r="20" spans="1:3" ht="18.45" customHeight="1">
      <c r="A20" s="218"/>
      <c r="B20" s="201" t="s">
        <v>228</v>
      </c>
      <c r="C20" s="49">
        <f>總表!$AC$17</f>
        <v>1718</v>
      </c>
    </row>
    <row r="21" spans="1:3" ht="18.45" customHeight="1">
      <c r="A21" s="218"/>
      <c r="B21" s="43" t="s">
        <v>80</v>
      </c>
      <c r="C21" s="53">
        <f>總表!$AE$17</f>
        <v>0</v>
      </c>
    </row>
    <row r="22" spans="1:3" ht="18.45" customHeight="1">
      <c r="A22" s="219"/>
      <c r="B22" s="43" t="s">
        <v>79</v>
      </c>
      <c r="C22" s="53">
        <f>總表!$AG$17</f>
        <v>0</v>
      </c>
    </row>
    <row r="23" spans="1:3" ht="18.45" customHeight="1">
      <c r="A23" s="54" t="s">
        <v>51</v>
      </c>
      <c r="B23" s="55" t="s">
        <v>52</v>
      </c>
      <c r="C23" s="56">
        <f>總表!$AH$17</f>
        <v>2863</v>
      </c>
    </row>
    <row r="24" spans="1:3" ht="18.45" customHeight="1">
      <c r="A24" s="57" t="s">
        <v>53</v>
      </c>
      <c r="B24" s="43" t="s">
        <v>54</v>
      </c>
      <c r="C24" s="58">
        <f>總表!$AJ$17</f>
        <v>0</v>
      </c>
    </row>
    <row r="25" spans="1:3" ht="18.45" customHeight="1">
      <c r="A25" s="59" t="s">
        <v>55</v>
      </c>
      <c r="B25" s="60" t="s">
        <v>56</v>
      </c>
      <c r="C25" s="61">
        <f>總表!$AK$17</f>
        <v>49112</v>
      </c>
    </row>
    <row r="26" spans="1:3" ht="18.45" customHeight="1">
      <c r="A26" s="62" t="s">
        <v>57</v>
      </c>
      <c r="B26" s="63" t="s">
        <v>58</v>
      </c>
      <c r="C26" s="64">
        <f>總表!$AL$17</f>
        <v>3324</v>
      </c>
    </row>
    <row r="27" spans="1:3" ht="18.45" customHeight="1" thickBot="1">
      <c r="A27" s="65" t="s">
        <v>59</v>
      </c>
      <c r="B27" s="66"/>
      <c r="C27" s="67">
        <f>C25+C26</f>
        <v>52436</v>
      </c>
    </row>
    <row r="28" spans="1:3" ht="98.7" customHeight="1" thickBot="1">
      <c r="A28" s="68" t="s">
        <v>60</v>
      </c>
      <c r="B28" s="220" t="s">
        <v>227</v>
      </c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04DF-4417-4B7D-A82D-54EF2E430803}">
  <sheetPr codeName="工作表16">
    <tabColor theme="6" tint="0.79995117038483843"/>
  </sheetPr>
  <dimension ref="A3:C28"/>
  <sheetViews>
    <sheetView showGridLines="0" topLeftCell="A13" zoomScale="85" zoomScaleNormal="85" workbookViewId="0">
      <selection activeCell="E28" sqref="E28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總表!$A$18</f>
        <v>114年9月</v>
      </c>
      <c r="B4" s="216"/>
      <c r="C4" s="216"/>
    </row>
    <row r="5" spans="1:3" ht="19.2" customHeight="1">
      <c r="A5" s="122" t="str">
        <f>總表!$E$18</f>
        <v>居服員</v>
      </c>
      <c r="B5" s="123" t="str">
        <f>總表!$D$18</f>
        <v>N0174</v>
      </c>
      <c r="C5" s="124" t="str">
        <f>總表!$F$18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總表!$O$18</f>
        <v>124</v>
      </c>
    </row>
    <row r="9" spans="1:3" ht="18.45" customHeight="1">
      <c r="A9" s="218"/>
      <c r="B9" s="42" t="s">
        <v>86</v>
      </c>
      <c r="C9" s="44">
        <f>總表!$T$18</f>
        <v>24800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總表!$P$18</f>
        <v>0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總表!$R$18</f>
        <v>30</v>
      </c>
    </row>
    <row r="14" spans="1:3" ht="18.45" customHeight="1">
      <c r="A14" s="218"/>
      <c r="B14" s="43" t="s">
        <v>82</v>
      </c>
      <c r="C14" s="97">
        <f>總表!$U$18</f>
        <v>12000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總表!$V$18</f>
        <v>7700</v>
      </c>
    </row>
    <row r="17" spans="1:3" ht="18.45" customHeight="1">
      <c r="A17" s="50" t="s">
        <v>46</v>
      </c>
      <c r="B17" s="43" t="s">
        <v>47</v>
      </c>
      <c r="C17" s="49">
        <f>總表!$W$18</f>
        <v>0</v>
      </c>
    </row>
    <row r="18" spans="1:3" ht="18.45" customHeight="1">
      <c r="A18" s="51" t="s">
        <v>48</v>
      </c>
      <c r="B18" s="42" t="s">
        <v>49</v>
      </c>
      <c r="C18" s="52">
        <f>總表!$X$18</f>
        <v>44500</v>
      </c>
    </row>
    <row r="19" spans="1:3" ht="18.45" customHeight="1">
      <c r="A19" s="217" t="s">
        <v>50</v>
      </c>
      <c r="B19" s="43" t="s">
        <v>129</v>
      </c>
      <c r="C19" s="49">
        <f>總表!$AA$18</f>
        <v>1145</v>
      </c>
    </row>
    <row r="20" spans="1:3" ht="18.45" customHeight="1">
      <c r="A20" s="218"/>
      <c r="B20" s="43" t="s">
        <v>230</v>
      </c>
      <c r="C20" s="49">
        <f>總表!$AC$18</f>
        <v>1718</v>
      </c>
    </row>
    <row r="21" spans="1:3" ht="18.45" customHeight="1">
      <c r="A21" s="218"/>
      <c r="B21" s="43" t="s">
        <v>80</v>
      </c>
      <c r="C21" s="53">
        <f>總表!$AE$18</f>
        <v>0</v>
      </c>
    </row>
    <row r="22" spans="1:3" ht="18.45" customHeight="1">
      <c r="A22" s="219"/>
      <c r="B22" s="43" t="s">
        <v>79</v>
      </c>
      <c r="C22" s="53">
        <f>總表!$AG$18</f>
        <v>0</v>
      </c>
    </row>
    <row r="23" spans="1:3" ht="18.45" customHeight="1">
      <c r="A23" s="54" t="s">
        <v>51</v>
      </c>
      <c r="B23" s="55" t="s">
        <v>52</v>
      </c>
      <c r="C23" s="56">
        <f>總表!$AH$18</f>
        <v>2863</v>
      </c>
    </row>
    <row r="24" spans="1:3" ht="18.45" customHeight="1">
      <c r="A24" s="57" t="s">
        <v>53</v>
      </c>
      <c r="B24" s="43" t="s">
        <v>54</v>
      </c>
      <c r="C24" s="58">
        <f>總表!$AJ$18</f>
        <v>0</v>
      </c>
    </row>
    <row r="25" spans="1:3" ht="18.45" customHeight="1">
      <c r="A25" s="59" t="s">
        <v>55</v>
      </c>
      <c r="B25" s="60" t="s">
        <v>56</v>
      </c>
      <c r="C25" s="61">
        <f>總表!$AK$18</f>
        <v>41637</v>
      </c>
    </row>
    <row r="26" spans="1:3" ht="18.45" customHeight="1">
      <c r="A26" s="62" t="s">
        <v>57</v>
      </c>
      <c r="B26" s="63" t="s">
        <v>58</v>
      </c>
      <c r="C26" s="64">
        <f>總表!$AL$18</f>
        <v>3324</v>
      </c>
    </row>
    <row r="27" spans="1:3" ht="18.45" customHeight="1" thickBot="1">
      <c r="A27" s="65" t="s">
        <v>59</v>
      </c>
      <c r="B27" s="66"/>
      <c r="C27" s="67">
        <f>C25+C26</f>
        <v>44961</v>
      </c>
    </row>
    <row r="28" spans="1:3" ht="98.7" customHeight="1" thickBot="1">
      <c r="A28" s="68" t="s">
        <v>60</v>
      </c>
      <c r="B28" s="220"/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FE39-D2D4-47B1-BAD5-1EFF0658B016}">
  <sheetPr codeName="工作表17">
    <tabColor theme="6" tint="0.79995117038483843"/>
  </sheetPr>
  <dimension ref="A3:C28"/>
  <sheetViews>
    <sheetView showGridLines="0" topLeftCell="A2" zoomScale="85" zoomScaleNormal="85" workbookViewId="0">
      <selection activeCell="E22" sqref="E22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總表!$A$19</f>
        <v>114年9月(2)</v>
      </c>
      <c r="B4" s="216"/>
      <c r="C4" s="216"/>
    </row>
    <row r="5" spans="1:3" ht="19.2" customHeight="1">
      <c r="A5" s="101" t="str">
        <f>總表!$E$19</f>
        <v>居服員</v>
      </c>
      <c r="B5" s="99" t="str">
        <f>總表!$D$19</f>
        <v>N0174</v>
      </c>
      <c r="C5" s="100" t="str">
        <f>總表!$F$19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/>
    </row>
    <row r="9" spans="1:3" ht="18.45" customHeight="1">
      <c r="A9" s="218"/>
      <c r="B9" s="42" t="s">
        <v>86</v>
      </c>
      <c r="C9" s="44"/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/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/>
    </row>
    <row r="14" spans="1:3" ht="18.45" customHeight="1">
      <c r="A14" s="218"/>
      <c r="B14" s="43" t="s">
        <v>82</v>
      </c>
      <c r="C14" s="97"/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/>
    </row>
    <row r="17" spans="1:3" ht="18.45" customHeight="1">
      <c r="A17" s="50" t="s">
        <v>46</v>
      </c>
      <c r="B17" s="120" t="s">
        <v>238</v>
      </c>
      <c r="C17" s="121">
        <f>總表!$W$19</f>
        <v>6610</v>
      </c>
    </row>
    <row r="18" spans="1:3" ht="18.45" customHeight="1">
      <c r="A18" s="51" t="s">
        <v>48</v>
      </c>
      <c r="B18" s="42" t="s">
        <v>49</v>
      </c>
      <c r="C18" s="52">
        <f>總表!$X$19</f>
        <v>6610</v>
      </c>
    </row>
    <row r="19" spans="1:3" ht="18.45" customHeight="1">
      <c r="A19" s="217" t="s">
        <v>50</v>
      </c>
      <c r="B19" s="43" t="s">
        <v>133</v>
      </c>
      <c r="C19" s="49"/>
    </row>
    <row r="20" spans="1:3" ht="18.45" customHeight="1">
      <c r="A20" s="218"/>
      <c r="B20" s="43" t="s">
        <v>162</v>
      </c>
      <c r="C20" s="49"/>
    </row>
    <row r="21" spans="1:3" ht="18.45" customHeight="1">
      <c r="A21" s="218"/>
      <c r="B21" s="43" t="s">
        <v>80</v>
      </c>
      <c r="C21" s="53"/>
    </row>
    <row r="22" spans="1:3" ht="18.45" customHeight="1">
      <c r="A22" s="219"/>
      <c r="B22" s="43" t="s">
        <v>79</v>
      </c>
      <c r="C22" s="53"/>
    </row>
    <row r="23" spans="1:3" ht="18.45" customHeight="1">
      <c r="A23" s="54" t="s">
        <v>51</v>
      </c>
      <c r="B23" s="55" t="s">
        <v>52</v>
      </c>
      <c r="C23" s="56">
        <f>總表!$AH$19</f>
        <v>0</v>
      </c>
    </row>
    <row r="24" spans="1:3" ht="18.45" customHeight="1">
      <c r="A24" s="57" t="s">
        <v>53</v>
      </c>
      <c r="B24" s="43" t="s">
        <v>54</v>
      </c>
      <c r="C24" s="58">
        <f>總表!$AJ$19</f>
        <v>0</v>
      </c>
    </row>
    <row r="25" spans="1:3" ht="18.45" customHeight="1">
      <c r="A25" s="59" t="s">
        <v>55</v>
      </c>
      <c r="B25" s="60" t="s">
        <v>56</v>
      </c>
      <c r="C25" s="61">
        <f>總表!$AK$19</f>
        <v>6610</v>
      </c>
    </row>
    <row r="26" spans="1:3" ht="18.45" customHeight="1">
      <c r="A26" s="62" t="s">
        <v>57</v>
      </c>
      <c r="B26" s="63" t="s">
        <v>58</v>
      </c>
      <c r="C26" s="64"/>
    </row>
    <row r="27" spans="1:3" ht="18.45" customHeight="1" thickBot="1">
      <c r="A27" s="65" t="s">
        <v>59</v>
      </c>
      <c r="B27" s="66"/>
      <c r="C27" s="67">
        <f>C25+C26</f>
        <v>6610</v>
      </c>
    </row>
    <row r="28" spans="1:3" ht="66.599999999999994" customHeight="1" thickBot="1">
      <c r="A28" s="68" t="s">
        <v>60</v>
      </c>
      <c r="B28" s="220" t="s">
        <v>125</v>
      </c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6F25-61DD-4071-B7B0-3FBE28C40B71}">
  <sheetPr codeName="工作表18">
    <tabColor theme="6" tint="0.79995117038483843"/>
  </sheetPr>
  <dimension ref="A3:C28"/>
  <sheetViews>
    <sheetView showGridLines="0" topLeftCell="A6" zoomScale="85" zoomScaleNormal="85" workbookViewId="0">
      <selection activeCell="D23" sqref="D23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總表!$A$20</f>
        <v>114年10月</v>
      </c>
      <c r="B4" s="216"/>
      <c r="C4" s="216"/>
    </row>
    <row r="5" spans="1:3" ht="19.2" customHeight="1">
      <c r="A5" s="122" t="str">
        <f>總表!$E$20</f>
        <v>居服員</v>
      </c>
      <c r="B5" s="123" t="str">
        <f>總表!$D$20</f>
        <v>N0174</v>
      </c>
      <c r="C5" s="124" t="str">
        <f>總表!$F$20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總表!$O$20</f>
        <v>117.67</v>
      </c>
    </row>
    <row r="9" spans="1:3" ht="18.45" customHeight="1">
      <c r="A9" s="218"/>
      <c r="B9" s="42" t="s">
        <v>86</v>
      </c>
      <c r="C9" s="44">
        <f>總表!$T$20</f>
        <v>23534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總表!$P$20</f>
        <v>0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總表!$R$20</f>
        <v>38.33</v>
      </c>
    </row>
    <row r="14" spans="1:3" ht="18.45" customHeight="1">
      <c r="A14" s="218"/>
      <c r="B14" s="43" t="s">
        <v>82</v>
      </c>
      <c r="C14" s="97">
        <f>總表!$U$20</f>
        <v>15332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總表!$V$20</f>
        <v>7800</v>
      </c>
    </row>
    <row r="17" spans="1:3" ht="18.45" customHeight="1">
      <c r="A17" s="50" t="s">
        <v>46</v>
      </c>
      <c r="B17" s="43" t="s">
        <v>47</v>
      </c>
      <c r="C17" s="49">
        <f>總表!$W$20</f>
        <v>0</v>
      </c>
    </row>
    <row r="18" spans="1:3" ht="18.45" customHeight="1">
      <c r="A18" s="51" t="s">
        <v>48</v>
      </c>
      <c r="B18" s="42" t="s">
        <v>49</v>
      </c>
      <c r="C18" s="52">
        <f>總表!$X$20</f>
        <v>46666</v>
      </c>
    </row>
    <row r="19" spans="1:3" ht="18.45" customHeight="1">
      <c r="A19" s="217" t="s">
        <v>50</v>
      </c>
      <c r="B19" s="43" t="s">
        <v>129</v>
      </c>
      <c r="C19" s="49">
        <f>總表!$AA$20</f>
        <v>1145</v>
      </c>
    </row>
    <row r="20" spans="1:3" ht="18.45" customHeight="1">
      <c r="A20" s="218"/>
      <c r="B20" s="43" t="s">
        <v>230</v>
      </c>
      <c r="C20" s="49">
        <f>總表!$AC$20</f>
        <v>1718</v>
      </c>
    </row>
    <row r="21" spans="1:3" ht="18.45" customHeight="1">
      <c r="A21" s="218"/>
      <c r="B21" s="43" t="s">
        <v>80</v>
      </c>
      <c r="C21" s="53">
        <f>總表!$AE$20</f>
        <v>0</v>
      </c>
    </row>
    <row r="22" spans="1:3" ht="18.45" customHeight="1">
      <c r="A22" s="219"/>
      <c r="B22" s="43" t="s">
        <v>79</v>
      </c>
      <c r="C22" s="53">
        <f>總表!$AG$20</f>
        <v>0</v>
      </c>
    </row>
    <row r="23" spans="1:3" ht="18.45" customHeight="1">
      <c r="A23" s="54" t="s">
        <v>51</v>
      </c>
      <c r="B23" s="55" t="s">
        <v>52</v>
      </c>
      <c r="C23" s="56">
        <f>總表!$AH$20</f>
        <v>2863</v>
      </c>
    </row>
    <row r="24" spans="1:3" ht="18.45" customHeight="1">
      <c r="A24" s="57" t="s">
        <v>53</v>
      </c>
      <c r="B24" s="43" t="s">
        <v>54</v>
      </c>
      <c r="C24" s="58">
        <f>總表!$AJ$20</f>
        <v>0</v>
      </c>
    </row>
    <row r="25" spans="1:3" ht="18.45" customHeight="1">
      <c r="A25" s="59" t="s">
        <v>55</v>
      </c>
      <c r="B25" s="60" t="s">
        <v>56</v>
      </c>
      <c r="C25" s="61">
        <f>總表!$AK$20</f>
        <v>43803</v>
      </c>
    </row>
    <row r="26" spans="1:3" ht="18.45" customHeight="1">
      <c r="A26" s="62" t="s">
        <v>57</v>
      </c>
      <c r="B26" s="63" t="s">
        <v>58</v>
      </c>
      <c r="C26" s="64">
        <f>總表!$AL$20</f>
        <v>3324</v>
      </c>
    </row>
    <row r="27" spans="1:3" ht="18.45" customHeight="1" thickBot="1">
      <c r="A27" s="65" t="s">
        <v>59</v>
      </c>
      <c r="B27" s="66"/>
      <c r="C27" s="67">
        <f>C25+C26</f>
        <v>47127</v>
      </c>
    </row>
    <row r="28" spans="1:3" ht="98.7" customHeight="1" thickBot="1">
      <c r="A28" s="68" t="s">
        <v>60</v>
      </c>
      <c r="B28" s="220"/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1081-21BD-4813-888A-4D919681ADFB}">
  <sheetPr codeName="工作表19">
    <tabColor theme="6" tint="0.79995117038483843"/>
  </sheetPr>
  <dimension ref="A3:C28"/>
  <sheetViews>
    <sheetView showGridLines="0" topLeftCell="A14" zoomScale="85" zoomScaleNormal="85" workbookViewId="0">
      <selection activeCell="F30" sqref="F30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總表!$A$21</f>
        <v>114年11月</v>
      </c>
      <c r="B4" s="216"/>
      <c r="C4" s="216"/>
    </row>
    <row r="5" spans="1:3" ht="19.2" customHeight="1">
      <c r="A5" s="122" t="str">
        <f>總表!$E$21</f>
        <v>居服員</v>
      </c>
      <c r="B5" s="123" t="str">
        <f>總表!$D$21</f>
        <v>N0174</v>
      </c>
      <c r="C5" s="124" t="str">
        <f>總表!$F$21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總表!$O$21</f>
        <v>116.67</v>
      </c>
    </row>
    <row r="9" spans="1:3" ht="18.45" customHeight="1">
      <c r="A9" s="218"/>
      <c r="B9" s="42" t="s">
        <v>86</v>
      </c>
      <c r="C9" s="44">
        <f>總表!$T$21</f>
        <v>23334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總表!$P$21</f>
        <v>0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總表!$R$21</f>
        <v>24</v>
      </c>
    </row>
    <row r="14" spans="1:3" ht="18.45" customHeight="1">
      <c r="A14" s="218"/>
      <c r="B14" s="43" t="s">
        <v>82</v>
      </c>
      <c r="C14" s="97">
        <f>總表!$U$21</f>
        <v>9600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總表!$V$21</f>
        <v>7034</v>
      </c>
    </row>
    <row r="17" spans="1:3" ht="18.45" customHeight="1">
      <c r="A17" s="50" t="s">
        <v>46</v>
      </c>
      <c r="B17" s="43" t="s">
        <v>47</v>
      </c>
      <c r="C17" s="49">
        <f>總表!$W$21</f>
        <v>0</v>
      </c>
    </row>
    <row r="18" spans="1:3" ht="18.45" customHeight="1">
      <c r="A18" s="51" t="s">
        <v>48</v>
      </c>
      <c r="B18" s="42" t="s">
        <v>49</v>
      </c>
      <c r="C18" s="52">
        <f>總表!$X$21</f>
        <v>39968</v>
      </c>
    </row>
    <row r="19" spans="1:3" ht="18.45" customHeight="1">
      <c r="A19" s="217" t="s">
        <v>50</v>
      </c>
      <c r="B19" s="43" t="s">
        <v>129</v>
      </c>
      <c r="C19" s="49">
        <f>總表!$AA$21</f>
        <v>1145</v>
      </c>
    </row>
    <row r="20" spans="1:3" ht="18.45" customHeight="1">
      <c r="A20" s="218"/>
      <c r="B20" s="43" t="s">
        <v>243</v>
      </c>
      <c r="C20" s="49">
        <f>總表!$AC$21</f>
        <v>1570</v>
      </c>
    </row>
    <row r="21" spans="1:3" ht="18.45" customHeight="1">
      <c r="A21" s="218"/>
      <c r="B21" s="43" t="s">
        <v>80</v>
      </c>
      <c r="C21" s="53">
        <f>總表!$AE$21</f>
        <v>0</v>
      </c>
    </row>
    <row r="22" spans="1:3" ht="18.45" customHeight="1">
      <c r="A22" s="219"/>
      <c r="B22" s="43" t="s">
        <v>79</v>
      </c>
      <c r="C22" s="53">
        <f>總表!$AG$21</f>
        <v>0</v>
      </c>
    </row>
    <row r="23" spans="1:3" ht="18.45" customHeight="1">
      <c r="A23" s="54" t="s">
        <v>51</v>
      </c>
      <c r="B23" s="55" t="s">
        <v>52</v>
      </c>
      <c r="C23" s="56">
        <f>總表!$AH$21</f>
        <v>2715</v>
      </c>
    </row>
    <row r="24" spans="1:3" ht="18.45" customHeight="1">
      <c r="A24" s="57" t="s">
        <v>53</v>
      </c>
      <c r="B24" s="43" t="s">
        <v>54</v>
      </c>
      <c r="C24" s="58">
        <f>總表!$AJ$21</f>
        <v>0</v>
      </c>
    </row>
    <row r="25" spans="1:3" ht="18.45" customHeight="1">
      <c r="A25" s="59" t="s">
        <v>55</v>
      </c>
      <c r="B25" s="60" t="s">
        <v>56</v>
      </c>
      <c r="C25" s="61">
        <f>總表!$AK$21</f>
        <v>37253</v>
      </c>
    </row>
    <row r="26" spans="1:3" ht="18.45" customHeight="1">
      <c r="A26" s="62" t="s">
        <v>57</v>
      </c>
      <c r="B26" s="63" t="s">
        <v>58</v>
      </c>
      <c r="C26" s="64">
        <f>總表!$AL$21</f>
        <v>3036</v>
      </c>
    </row>
    <row r="27" spans="1:3" ht="18.45" customHeight="1" thickBot="1">
      <c r="A27" s="65" t="s">
        <v>59</v>
      </c>
      <c r="B27" s="66"/>
      <c r="C27" s="67">
        <f>C25+C26</f>
        <v>40289</v>
      </c>
    </row>
    <row r="28" spans="1:3" ht="98.7" customHeight="1" thickBot="1">
      <c r="A28" s="68" t="s">
        <v>60</v>
      </c>
      <c r="B28" s="220" t="s">
        <v>244</v>
      </c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BD61-7ADF-467A-B833-3D59DEC1B8D3}">
  <sheetPr codeName="工作表20">
    <tabColor rgb="FFC00000"/>
  </sheetPr>
  <dimension ref="A3:C28"/>
  <sheetViews>
    <sheetView showGridLines="0" zoomScale="85" zoomScaleNormal="85" workbookViewId="0">
      <selection activeCell="E13" sqref="E13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 t="str">
        <f>總表!$A$22</f>
        <v>114年12月</v>
      </c>
      <c r="B4" s="216"/>
      <c r="C4" s="216"/>
    </row>
    <row r="5" spans="1:3" ht="19.2" customHeight="1">
      <c r="A5" s="122" t="str">
        <f>總表!$E$22</f>
        <v>居服員</v>
      </c>
      <c r="B5" s="123" t="str">
        <f>總表!$D$22</f>
        <v>N0174</v>
      </c>
      <c r="C5" s="124" t="str">
        <f>總表!$F$22</f>
        <v>曾馨幼</v>
      </c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>
        <f>總表!$O$22</f>
        <v>111.5</v>
      </c>
    </row>
    <row r="9" spans="1:3" ht="18.45" customHeight="1">
      <c r="A9" s="218"/>
      <c r="B9" s="42" t="s">
        <v>86</v>
      </c>
      <c r="C9" s="44">
        <f>總表!$T$22</f>
        <v>22300</v>
      </c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>
        <f>總表!$P$22</f>
        <v>0</v>
      </c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>
        <f>總表!$R$22</f>
        <v>42</v>
      </c>
    </row>
    <row r="14" spans="1:3" ht="18.45" customHeight="1">
      <c r="A14" s="218"/>
      <c r="B14" s="43" t="s">
        <v>82</v>
      </c>
      <c r="C14" s="97">
        <f>總表!$U$22</f>
        <v>16800</v>
      </c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>
        <f>總表!$V$22</f>
        <v>7675</v>
      </c>
    </row>
    <row r="17" spans="1:3" ht="18.45" customHeight="1">
      <c r="A17" s="50" t="s">
        <v>46</v>
      </c>
      <c r="B17" s="43" t="s">
        <v>47</v>
      </c>
      <c r="C17" s="49">
        <f>總表!$W$22</f>
        <v>0</v>
      </c>
    </row>
    <row r="18" spans="1:3" ht="18.45" customHeight="1">
      <c r="A18" s="51" t="s">
        <v>48</v>
      </c>
      <c r="B18" s="42" t="s">
        <v>49</v>
      </c>
      <c r="C18" s="52">
        <f>總表!$X$22</f>
        <v>46775</v>
      </c>
    </row>
    <row r="19" spans="1:3" ht="18.45" customHeight="1">
      <c r="A19" s="217" t="s">
        <v>50</v>
      </c>
      <c r="B19" s="43" t="s">
        <v>129</v>
      </c>
      <c r="C19" s="49">
        <f>總表!$AA$22</f>
        <v>1145</v>
      </c>
    </row>
    <row r="20" spans="1:3" ht="18.45" customHeight="1">
      <c r="A20" s="218"/>
      <c r="B20" s="43" t="s">
        <v>243</v>
      </c>
      <c r="C20" s="49">
        <f>總表!$AC$22</f>
        <v>1570</v>
      </c>
    </row>
    <row r="21" spans="1:3" ht="18.45" customHeight="1">
      <c r="A21" s="218"/>
      <c r="B21" s="43" t="s">
        <v>80</v>
      </c>
      <c r="C21" s="53">
        <f>總表!$AE$22</f>
        <v>0</v>
      </c>
    </row>
    <row r="22" spans="1:3" ht="18.45" customHeight="1">
      <c r="A22" s="219"/>
      <c r="B22" s="43" t="s">
        <v>79</v>
      </c>
      <c r="C22" s="53">
        <f>總表!$AG$22</f>
        <v>0</v>
      </c>
    </row>
    <row r="23" spans="1:3" ht="18.45" customHeight="1">
      <c r="A23" s="54" t="s">
        <v>51</v>
      </c>
      <c r="B23" s="55" t="s">
        <v>52</v>
      </c>
      <c r="C23" s="56">
        <f>總表!$AH$22</f>
        <v>2715</v>
      </c>
    </row>
    <row r="24" spans="1:3" ht="18.45" customHeight="1">
      <c r="A24" s="57" t="s">
        <v>53</v>
      </c>
      <c r="B24" s="43" t="s">
        <v>54</v>
      </c>
      <c r="C24" s="58">
        <f>總表!$AJ$22</f>
        <v>0</v>
      </c>
    </row>
    <row r="25" spans="1:3" ht="18.45" customHeight="1">
      <c r="A25" s="59" t="s">
        <v>55</v>
      </c>
      <c r="B25" s="60" t="s">
        <v>56</v>
      </c>
      <c r="C25" s="61">
        <f>總表!$AK$22</f>
        <v>44060</v>
      </c>
    </row>
    <row r="26" spans="1:3" ht="18.45" customHeight="1">
      <c r="A26" s="62" t="s">
        <v>57</v>
      </c>
      <c r="B26" s="63" t="s">
        <v>58</v>
      </c>
      <c r="C26" s="64">
        <f>總表!$AL$22</f>
        <v>3036</v>
      </c>
    </row>
    <row r="27" spans="1:3" ht="18.45" customHeight="1" thickBot="1">
      <c r="A27" s="65" t="s">
        <v>59</v>
      </c>
      <c r="B27" s="66"/>
      <c r="C27" s="67">
        <f>C25+C26</f>
        <v>47096</v>
      </c>
    </row>
    <row r="28" spans="1:3" ht="98.7" customHeight="1" thickBot="1">
      <c r="A28" s="68" t="s">
        <v>60</v>
      </c>
      <c r="B28" s="220"/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E91E-6C18-4FC2-9487-EB7608830C51}">
  <sheetPr codeName="工作表10">
    <tabColor theme="6" tint="0.79998168889431442"/>
  </sheetPr>
  <dimension ref="A1:CG32"/>
  <sheetViews>
    <sheetView topLeftCell="K16" zoomScale="81" zoomScaleNormal="81" workbookViewId="0">
      <selection activeCell="AL22" sqref="AL22"/>
    </sheetView>
  </sheetViews>
  <sheetFormatPr defaultColWidth="8.89453125" defaultRowHeight="16.5"/>
  <cols>
    <col min="1" max="1" width="11" style="8" customWidth="1"/>
    <col min="2" max="2" width="7.3125" style="8" customWidth="1"/>
    <col min="3" max="3" width="12.7890625" style="8" customWidth="1"/>
    <col min="4" max="4" width="8.89453125" style="8"/>
    <col min="5" max="5" width="11.68359375" style="8" customWidth="1"/>
    <col min="6" max="6" width="11.7890625" style="8" customWidth="1"/>
    <col min="7" max="7" width="11.5234375" style="9" customWidth="1"/>
    <col min="8" max="9" width="14.3125" style="8" customWidth="1"/>
    <col min="10" max="10" width="11.1015625" style="40" customWidth="1"/>
    <col min="11" max="11" width="12.7890625" style="40" customWidth="1"/>
    <col min="12" max="12" width="16.41796875" style="40" customWidth="1"/>
    <col min="13" max="13" width="21.20703125" style="40" customWidth="1"/>
    <col min="14" max="14" width="13.89453125" style="15" customWidth="1"/>
    <col min="15" max="15" width="14.20703125" style="8" customWidth="1"/>
    <col min="16" max="16" width="12.89453125" style="8" customWidth="1"/>
    <col min="17" max="17" width="22.68359375" style="8" customWidth="1"/>
    <col min="18" max="18" width="11.89453125" style="8" customWidth="1"/>
    <col min="19" max="19" width="11.7890625" style="8" customWidth="1"/>
    <col min="20" max="20" width="15.7890625" style="40" bestFit="1" customWidth="1"/>
    <col min="21" max="21" width="19.20703125" style="40" customWidth="1"/>
    <col min="22" max="22" width="13.7890625" style="40" customWidth="1"/>
    <col min="23" max="23" width="16.41796875" style="40" customWidth="1"/>
    <col min="24" max="24" width="13.41796875" style="40" customWidth="1"/>
    <col min="25" max="25" width="15.1015625" style="15" customWidth="1"/>
    <col min="26" max="26" width="15" style="8" customWidth="1"/>
    <col min="27" max="27" width="11.3125" style="40" customWidth="1"/>
    <col min="28" max="28" width="15.5234375" style="40" customWidth="1"/>
    <col min="29" max="29" width="11.89453125" style="40" customWidth="1"/>
    <col min="30" max="30" width="9.41796875" style="40" customWidth="1"/>
    <col min="31" max="31" width="10.20703125" style="8" customWidth="1"/>
    <col min="32" max="32" width="13.7890625" style="40" customWidth="1"/>
    <col min="33" max="33" width="12" style="6" customWidth="1"/>
    <col min="34" max="34" width="9.7890625" style="40" customWidth="1"/>
    <col min="35" max="35" width="11.89453125" style="40" bestFit="1" customWidth="1"/>
    <col min="36" max="37" width="11.89453125" style="40" customWidth="1"/>
    <col min="38" max="38" width="13.3125" style="40" bestFit="1" customWidth="1"/>
    <col min="39" max="39" width="11.5234375" style="6" customWidth="1"/>
    <col min="40" max="45" width="8.89453125" style="6"/>
    <col min="46" max="49" width="9" style="6" bestFit="1" customWidth="1"/>
    <col min="50" max="16384" width="8.89453125" style="6"/>
  </cols>
  <sheetData>
    <row r="1" spans="1:85" s="1" customFormat="1" ht="13.8">
      <c r="A1" s="30"/>
      <c r="B1" s="2"/>
      <c r="C1" s="2"/>
      <c r="D1" s="2"/>
      <c r="E1" s="2"/>
      <c r="F1" s="2"/>
      <c r="G1" s="2"/>
      <c r="H1" s="2"/>
      <c r="I1" s="2"/>
      <c r="J1" s="31"/>
      <c r="K1" s="31"/>
      <c r="L1" s="31"/>
      <c r="M1" s="31"/>
      <c r="N1" s="10"/>
      <c r="O1" s="4"/>
      <c r="P1" s="4"/>
      <c r="Q1" s="4"/>
      <c r="R1" s="4"/>
      <c r="S1" s="4"/>
      <c r="T1" s="5"/>
      <c r="U1" s="5"/>
      <c r="V1" s="5"/>
      <c r="W1" s="5"/>
      <c r="X1" s="5"/>
      <c r="Y1" s="10"/>
      <c r="Z1" s="32"/>
      <c r="AA1" s="5"/>
      <c r="AB1" s="5"/>
      <c r="AC1" s="5"/>
      <c r="AD1" s="5"/>
      <c r="AE1" s="2"/>
      <c r="AF1" s="5"/>
      <c r="AG1" s="3"/>
      <c r="AH1" s="5"/>
      <c r="AI1" s="5"/>
      <c r="AJ1" s="5"/>
      <c r="AK1" s="5"/>
      <c r="AL1" s="5"/>
    </row>
    <row r="2" spans="1:85" s="1" customFormat="1" ht="15.6" customHeight="1">
      <c r="A2" s="222"/>
      <c r="B2" s="223"/>
      <c r="C2" s="2"/>
      <c r="D2" s="2"/>
      <c r="E2" s="2"/>
      <c r="F2" s="2"/>
      <c r="G2" s="2"/>
      <c r="H2" s="2"/>
      <c r="I2" s="2"/>
      <c r="J2" s="31"/>
      <c r="K2" s="31"/>
      <c r="L2" s="31"/>
      <c r="M2" s="31"/>
      <c r="N2" s="10"/>
      <c r="O2" s="4"/>
      <c r="P2" s="4"/>
      <c r="Q2" s="4"/>
      <c r="R2" s="4"/>
      <c r="S2" s="4"/>
      <c r="T2" s="5"/>
      <c r="U2" s="5"/>
      <c r="V2" s="5"/>
      <c r="W2" s="5"/>
      <c r="X2" s="5"/>
      <c r="Y2" s="10"/>
      <c r="Z2" s="32"/>
      <c r="AA2" s="5"/>
      <c r="AB2" s="5"/>
      <c r="AC2" s="5"/>
      <c r="AD2" s="5"/>
      <c r="AE2" s="2"/>
      <c r="AF2" s="5"/>
      <c r="AG2" s="3"/>
      <c r="AH2" s="5"/>
      <c r="AI2" s="5"/>
      <c r="AJ2" s="5"/>
      <c r="AK2" s="5"/>
      <c r="AL2" s="5"/>
    </row>
    <row r="3" spans="1:85" s="1" customFormat="1" ht="13.8">
      <c r="A3" s="2"/>
      <c r="B3" s="2"/>
      <c r="C3" s="2"/>
      <c r="D3" s="2"/>
      <c r="E3" s="2"/>
      <c r="F3" s="2"/>
      <c r="G3" s="2"/>
      <c r="H3" s="2"/>
      <c r="I3" s="2"/>
      <c r="J3" s="31"/>
      <c r="K3" s="31"/>
      <c r="L3" s="31"/>
      <c r="M3" s="31"/>
      <c r="N3" s="10"/>
      <c r="O3" s="4"/>
      <c r="P3" s="4"/>
      <c r="Q3" s="4"/>
      <c r="R3" s="4"/>
      <c r="S3" s="4"/>
      <c r="T3" s="5"/>
      <c r="U3" s="5"/>
      <c r="V3" s="5"/>
      <c r="W3" s="5"/>
      <c r="X3" s="5"/>
      <c r="Y3" s="10"/>
      <c r="Z3" s="32"/>
      <c r="AA3" s="5"/>
      <c r="AB3" s="5"/>
      <c r="AC3" s="5"/>
      <c r="AD3" s="5"/>
      <c r="AE3" s="2"/>
      <c r="AF3" s="5"/>
      <c r="AG3" s="3"/>
      <c r="AH3" s="5"/>
      <c r="AI3" s="5"/>
      <c r="AJ3" s="5"/>
      <c r="AK3" s="5"/>
      <c r="AL3" s="5"/>
    </row>
    <row r="4" spans="1:85" s="35" customFormat="1" ht="30" customHeight="1">
      <c r="A4" s="224" t="s">
        <v>6</v>
      </c>
      <c r="B4" s="225"/>
      <c r="C4" s="225"/>
      <c r="D4" s="225"/>
      <c r="E4" s="225"/>
      <c r="F4" s="225"/>
      <c r="G4" s="225"/>
      <c r="H4" s="225"/>
      <c r="I4" s="226"/>
      <c r="J4" s="227" t="s">
        <v>7</v>
      </c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9"/>
      <c r="Y4" s="230" t="s">
        <v>8</v>
      </c>
      <c r="Z4" s="231"/>
      <c r="AA4" s="231"/>
      <c r="AB4" s="231"/>
      <c r="AC4" s="231"/>
      <c r="AD4" s="231"/>
      <c r="AE4" s="231"/>
      <c r="AF4" s="231"/>
      <c r="AG4" s="231"/>
      <c r="AH4" s="232"/>
      <c r="AI4" s="33" t="s">
        <v>9</v>
      </c>
      <c r="AJ4" s="33"/>
      <c r="AK4" s="33" t="s">
        <v>10</v>
      </c>
      <c r="AL4" s="34"/>
    </row>
    <row r="5" spans="1:85" s="7" customFormat="1" ht="51" customHeight="1">
      <c r="A5" s="69" t="s">
        <v>11</v>
      </c>
      <c r="B5" s="69" t="s">
        <v>12</v>
      </c>
      <c r="C5" s="69" t="s">
        <v>13</v>
      </c>
      <c r="D5" s="69" t="s">
        <v>14</v>
      </c>
      <c r="E5" s="69" t="s">
        <v>15</v>
      </c>
      <c r="F5" s="70" t="s">
        <v>16</v>
      </c>
      <c r="G5" s="69" t="s">
        <v>17</v>
      </c>
      <c r="H5" s="71" t="s">
        <v>18</v>
      </c>
      <c r="I5" s="71" t="s">
        <v>19</v>
      </c>
      <c r="J5" s="72" t="s">
        <v>20</v>
      </c>
      <c r="K5" s="72" t="s">
        <v>21</v>
      </c>
      <c r="L5" s="72" t="s">
        <v>22</v>
      </c>
      <c r="M5" s="102" t="s">
        <v>95</v>
      </c>
      <c r="N5" s="103" t="s">
        <v>23</v>
      </c>
      <c r="O5" s="73" t="s">
        <v>24</v>
      </c>
      <c r="P5" s="74" t="s">
        <v>25</v>
      </c>
      <c r="Q5" s="75" t="s">
        <v>89</v>
      </c>
      <c r="R5" s="76" t="s">
        <v>26</v>
      </c>
      <c r="S5" s="70" t="s">
        <v>27</v>
      </c>
      <c r="T5" s="104" t="s">
        <v>90</v>
      </c>
      <c r="U5" s="72" t="s">
        <v>96</v>
      </c>
      <c r="V5" s="72" t="s">
        <v>91</v>
      </c>
      <c r="W5" s="77" t="s">
        <v>92</v>
      </c>
      <c r="X5" s="78" t="s">
        <v>28</v>
      </c>
      <c r="Y5" s="79" t="s">
        <v>29</v>
      </c>
      <c r="Z5" s="72" t="s">
        <v>30</v>
      </c>
      <c r="AA5" s="72" t="s">
        <v>31</v>
      </c>
      <c r="AB5" s="72" t="s">
        <v>32</v>
      </c>
      <c r="AC5" s="72" t="s">
        <v>33</v>
      </c>
      <c r="AD5" s="80" t="s">
        <v>34</v>
      </c>
      <c r="AE5" s="72" t="s">
        <v>93</v>
      </c>
      <c r="AF5" s="81" t="s">
        <v>35</v>
      </c>
      <c r="AG5" s="72" t="s">
        <v>94</v>
      </c>
      <c r="AH5" s="78" t="s">
        <v>36</v>
      </c>
      <c r="AI5" s="82" t="s">
        <v>37</v>
      </c>
      <c r="AJ5" s="82" t="s">
        <v>38</v>
      </c>
      <c r="AK5" s="83" t="s">
        <v>39</v>
      </c>
      <c r="AL5" s="82" t="s">
        <v>40</v>
      </c>
    </row>
    <row r="6" spans="1:85" s="7" customFormat="1" ht="12.9">
      <c r="A6" s="119" t="s">
        <v>167</v>
      </c>
      <c r="B6" s="112" t="s">
        <v>97</v>
      </c>
      <c r="C6" s="112" t="s">
        <v>126</v>
      </c>
      <c r="D6" s="112" t="s">
        <v>98</v>
      </c>
      <c r="E6" s="112" t="s">
        <v>99</v>
      </c>
      <c r="F6" s="113" t="s">
        <v>100</v>
      </c>
      <c r="G6" s="113" t="s">
        <v>101</v>
      </c>
      <c r="H6" s="113" t="s">
        <v>127</v>
      </c>
      <c r="I6" s="113" t="s">
        <v>102</v>
      </c>
      <c r="J6" s="114">
        <v>200</v>
      </c>
      <c r="K6" s="115"/>
      <c r="L6" s="116">
        <v>66</v>
      </c>
      <c r="M6" s="116">
        <v>200</v>
      </c>
      <c r="N6" s="116">
        <v>50</v>
      </c>
      <c r="O6" s="117">
        <v>167.17</v>
      </c>
      <c r="P6" s="117">
        <v>0.17</v>
      </c>
      <c r="Q6" s="117">
        <v>0</v>
      </c>
      <c r="R6" s="117">
        <v>33.83</v>
      </c>
      <c r="S6" s="117">
        <v>201.16999999999996</v>
      </c>
      <c r="T6" s="116">
        <v>33434</v>
      </c>
      <c r="U6" s="116">
        <v>13577</v>
      </c>
      <c r="V6" s="116">
        <v>10059</v>
      </c>
      <c r="W6" s="116">
        <v>0</v>
      </c>
      <c r="X6" s="116">
        <v>57070</v>
      </c>
      <c r="Y6" s="118" t="s">
        <v>163</v>
      </c>
      <c r="Z6" s="116">
        <v>45800</v>
      </c>
      <c r="AA6" s="116">
        <v>1100</v>
      </c>
      <c r="AB6" s="116">
        <v>53000</v>
      </c>
      <c r="AC6" s="116">
        <v>1644</v>
      </c>
      <c r="AD6" s="119">
        <v>1</v>
      </c>
      <c r="AE6" s="116">
        <v>0</v>
      </c>
      <c r="AF6" s="119">
        <v>86</v>
      </c>
      <c r="AG6" s="116">
        <v>0</v>
      </c>
      <c r="AH6" s="116">
        <v>2744</v>
      </c>
      <c r="AI6" s="116">
        <v>54326</v>
      </c>
      <c r="AJ6" s="116">
        <v>0</v>
      </c>
      <c r="AK6" s="116">
        <v>54326</v>
      </c>
      <c r="AL6" s="116">
        <v>3180</v>
      </c>
      <c r="AN6" s="105"/>
      <c r="AQ6" s="106"/>
      <c r="AR6" s="36"/>
      <c r="AS6" s="38"/>
      <c r="AT6" s="107"/>
      <c r="AU6" s="107"/>
      <c r="AV6" s="107"/>
      <c r="AW6" s="107"/>
      <c r="BD6" s="108"/>
      <c r="BE6" s="108"/>
      <c r="BF6" s="108"/>
      <c r="BJ6" s="108"/>
      <c r="BK6" s="108"/>
      <c r="BP6" s="108"/>
      <c r="BT6" s="7" t="s">
        <v>164</v>
      </c>
      <c r="BV6" s="7">
        <v>0</v>
      </c>
      <c r="BX6" s="7" t="s">
        <v>165</v>
      </c>
      <c r="BZ6" s="7">
        <v>54</v>
      </c>
      <c r="CA6" s="125"/>
      <c r="CB6" s="7" t="s">
        <v>166</v>
      </c>
      <c r="CC6" s="125">
        <v>47995</v>
      </c>
      <c r="CD6" s="125">
        <v>17918.8</v>
      </c>
      <c r="CE6" s="125"/>
      <c r="CF6" s="7" t="s">
        <v>166</v>
      </c>
    </row>
    <row r="7" spans="1:85" s="7" customFormat="1" ht="12.9">
      <c r="A7" s="112" t="s">
        <v>175</v>
      </c>
      <c r="B7" s="112" t="s">
        <v>97</v>
      </c>
      <c r="C7" s="112" t="s">
        <v>154</v>
      </c>
      <c r="D7" s="112" t="s">
        <v>98</v>
      </c>
      <c r="E7" s="112" t="s">
        <v>99</v>
      </c>
      <c r="F7" s="112" t="s">
        <v>100</v>
      </c>
      <c r="G7" s="113" t="s">
        <v>101</v>
      </c>
      <c r="H7" s="112" t="s">
        <v>155</v>
      </c>
      <c r="I7" s="113" t="s">
        <v>102</v>
      </c>
      <c r="J7" s="114">
        <v>200</v>
      </c>
      <c r="K7" s="115"/>
      <c r="L7" s="116">
        <v>66</v>
      </c>
      <c r="M7" s="116">
        <v>200</v>
      </c>
      <c r="N7" s="116">
        <v>50</v>
      </c>
      <c r="O7" s="117"/>
      <c r="P7" s="117"/>
      <c r="Q7" s="117"/>
      <c r="R7" s="117"/>
      <c r="S7" s="117"/>
      <c r="T7" s="116"/>
      <c r="U7" s="116"/>
      <c r="V7" s="116"/>
      <c r="W7" s="116">
        <v>15420</v>
      </c>
      <c r="X7" s="116">
        <v>15420</v>
      </c>
      <c r="Y7" s="118"/>
      <c r="Z7" s="116"/>
      <c r="AA7" s="116"/>
      <c r="AB7" s="116"/>
      <c r="AC7" s="116"/>
      <c r="AD7" s="112"/>
      <c r="AE7" s="116"/>
      <c r="AF7" s="119"/>
      <c r="AG7" s="116"/>
      <c r="AH7" s="116"/>
      <c r="AI7" s="116">
        <v>15420</v>
      </c>
      <c r="AJ7" s="116">
        <v>0</v>
      </c>
      <c r="AK7" s="116">
        <v>15420</v>
      </c>
      <c r="AL7" s="112"/>
    </row>
    <row r="8" spans="1:85" s="7" customFormat="1" ht="12.9">
      <c r="A8" s="119" t="s">
        <v>180</v>
      </c>
      <c r="B8" s="112" t="s">
        <v>97</v>
      </c>
      <c r="C8" s="112" t="s">
        <v>126</v>
      </c>
      <c r="D8" s="112" t="s">
        <v>98</v>
      </c>
      <c r="E8" s="112" t="s">
        <v>99</v>
      </c>
      <c r="F8" s="113" t="s">
        <v>100</v>
      </c>
      <c r="G8" s="113" t="s">
        <v>101</v>
      </c>
      <c r="H8" s="113" t="s">
        <v>127</v>
      </c>
      <c r="I8" s="113" t="s">
        <v>102</v>
      </c>
      <c r="J8" s="114">
        <v>200</v>
      </c>
      <c r="K8" s="115"/>
      <c r="L8" s="116">
        <v>66</v>
      </c>
      <c r="M8" s="116">
        <v>200</v>
      </c>
      <c r="N8" s="116">
        <v>50</v>
      </c>
      <c r="O8" s="117">
        <v>119.92</v>
      </c>
      <c r="P8" s="117">
        <v>0</v>
      </c>
      <c r="Q8" s="117">
        <v>0</v>
      </c>
      <c r="R8" s="117">
        <v>38.75</v>
      </c>
      <c r="S8" s="117">
        <v>158.67000000000002</v>
      </c>
      <c r="T8" s="116">
        <v>23984</v>
      </c>
      <c r="U8" s="116">
        <v>15500</v>
      </c>
      <c r="V8" s="116">
        <v>7934</v>
      </c>
      <c r="W8" s="116">
        <v>0</v>
      </c>
      <c r="X8" s="116">
        <v>47418</v>
      </c>
      <c r="Y8" s="118" t="s">
        <v>163</v>
      </c>
      <c r="Z8" s="116">
        <v>45800</v>
      </c>
      <c r="AA8" s="116">
        <v>1145</v>
      </c>
      <c r="AB8" s="116">
        <v>53000</v>
      </c>
      <c r="AC8" s="116">
        <v>1644</v>
      </c>
      <c r="AD8" s="119">
        <v>1</v>
      </c>
      <c r="AE8" s="116">
        <v>0</v>
      </c>
      <c r="AF8" s="119">
        <v>-118</v>
      </c>
      <c r="AG8" s="116">
        <v>0</v>
      </c>
      <c r="AH8" s="116">
        <v>2789</v>
      </c>
      <c r="AI8" s="116">
        <v>44629</v>
      </c>
      <c r="AJ8" s="116">
        <v>0</v>
      </c>
      <c r="AK8" s="116">
        <v>44629</v>
      </c>
      <c r="AL8" s="116">
        <v>3180</v>
      </c>
      <c r="AN8" s="108"/>
      <c r="AO8" s="38"/>
      <c r="AQ8" s="106"/>
      <c r="AR8" s="36"/>
      <c r="AS8" s="38"/>
      <c r="AT8" s="107"/>
      <c r="AU8" s="107"/>
      <c r="AV8" s="107"/>
      <c r="AW8" s="107"/>
      <c r="BD8" s="108"/>
      <c r="BE8" s="108"/>
      <c r="BF8" s="108"/>
      <c r="BJ8" s="108"/>
      <c r="BK8" s="108"/>
      <c r="BP8" s="108"/>
      <c r="BT8" s="7" t="s">
        <v>177</v>
      </c>
      <c r="BV8" s="7">
        <v>0</v>
      </c>
      <c r="BX8" s="7" t="s">
        <v>178</v>
      </c>
      <c r="BZ8" s="7">
        <v>56</v>
      </c>
      <c r="CA8" s="125"/>
      <c r="CB8" s="7" t="s">
        <v>179</v>
      </c>
      <c r="CC8" s="125">
        <v>500</v>
      </c>
      <c r="CD8" s="125">
        <v>200</v>
      </c>
      <c r="CE8" s="125"/>
      <c r="CF8" s="7" t="s">
        <v>179</v>
      </c>
    </row>
    <row r="9" spans="1:85" s="39" customFormat="1" ht="12.9">
      <c r="A9" s="119" t="s">
        <v>184</v>
      </c>
      <c r="B9" s="112" t="s">
        <v>97</v>
      </c>
      <c r="C9" s="112" t="s">
        <v>126</v>
      </c>
      <c r="D9" s="112" t="s">
        <v>98</v>
      </c>
      <c r="E9" s="112" t="s">
        <v>99</v>
      </c>
      <c r="F9" s="113" t="s">
        <v>100</v>
      </c>
      <c r="G9" s="113" t="s">
        <v>101</v>
      </c>
      <c r="H9" s="113" t="s">
        <v>127</v>
      </c>
      <c r="I9" s="113" t="s">
        <v>102</v>
      </c>
      <c r="J9" s="150">
        <v>200</v>
      </c>
      <c r="K9" s="151"/>
      <c r="L9" s="152">
        <v>66</v>
      </c>
      <c r="M9" s="152">
        <v>200</v>
      </c>
      <c r="N9" s="116">
        <v>50</v>
      </c>
      <c r="O9" s="117">
        <v>148.33000000000001</v>
      </c>
      <c r="P9" s="117">
        <v>0.33</v>
      </c>
      <c r="Q9" s="117">
        <v>0</v>
      </c>
      <c r="R9" s="117">
        <v>36.5</v>
      </c>
      <c r="S9" s="117">
        <v>185.16000000000003</v>
      </c>
      <c r="T9" s="152">
        <v>29666</v>
      </c>
      <c r="U9" s="152">
        <v>14688</v>
      </c>
      <c r="V9" s="152">
        <v>9258</v>
      </c>
      <c r="W9" s="152">
        <v>0</v>
      </c>
      <c r="X9" s="152">
        <v>53612</v>
      </c>
      <c r="Y9" s="118" t="s">
        <v>163</v>
      </c>
      <c r="Z9" s="116">
        <v>45800</v>
      </c>
      <c r="AA9" s="152">
        <v>1145</v>
      </c>
      <c r="AB9" s="152">
        <v>53000</v>
      </c>
      <c r="AC9" s="152">
        <v>1644</v>
      </c>
      <c r="AD9" s="153">
        <v>1</v>
      </c>
      <c r="AE9" s="116">
        <v>0</v>
      </c>
      <c r="AF9" s="153">
        <v>13</v>
      </c>
      <c r="AG9" s="152">
        <v>0</v>
      </c>
      <c r="AH9" s="152">
        <v>2789</v>
      </c>
      <c r="AI9" s="152">
        <v>50823</v>
      </c>
      <c r="AJ9" s="152">
        <v>0</v>
      </c>
      <c r="AK9" s="152">
        <v>50823</v>
      </c>
      <c r="AL9" s="152">
        <v>3180</v>
      </c>
      <c r="AN9" s="145"/>
      <c r="AO9" s="37"/>
      <c r="AQ9" s="144"/>
      <c r="AR9" s="146"/>
      <c r="AS9" s="37"/>
      <c r="AT9" s="147"/>
      <c r="AU9" s="147"/>
      <c r="AV9" s="147"/>
      <c r="AW9" s="147"/>
      <c r="BD9" s="145"/>
      <c r="BE9" s="145"/>
      <c r="BF9" s="145"/>
      <c r="BJ9" s="145"/>
      <c r="BK9" s="145"/>
      <c r="BP9" s="145"/>
      <c r="BT9" s="39" t="s">
        <v>181</v>
      </c>
      <c r="BV9" s="39">
        <v>0</v>
      </c>
      <c r="BX9" s="39" t="s">
        <v>182</v>
      </c>
      <c r="BZ9" s="39">
        <v>57</v>
      </c>
      <c r="CA9" s="148"/>
      <c r="CB9" s="39" t="s">
        <v>183</v>
      </c>
      <c r="CC9" s="148">
        <v>50085</v>
      </c>
      <c r="CD9" s="148">
        <v>7310</v>
      </c>
      <c r="CE9" s="148"/>
      <c r="CF9" s="39" t="s">
        <v>183</v>
      </c>
    </row>
    <row r="10" spans="1:85" s="39" customFormat="1" ht="12.9">
      <c r="A10" s="119" t="s">
        <v>190</v>
      </c>
      <c r="B10" s="112" t="s">
        <v>97</v>
      </c>
      <c r="C10" s="112" t="s">
        <v>126</v>
      </c>
      <c r="D10" s="112" t="s">
        <v>98</v>
      </c>
      <c r="E10" s="112" t="s">
        <v>99</v>
      </c>
      <c r="F10" s="113" t="s">
        <v>100</v>
      </c>
      <c r="G10" s="113" t="s">
        <v>101</v>
      </c>
      <c r="H10" s="113" t="s">
        <v>127</v>
      </c>
      <c r="I10" s="113" t="s">
        <v>102</v>
      </c>
      <c r="J10" s="150">
        <v>200</v>
      </c>
      <c r="K10" s="151"/>
      <c r="L10" s="152">
        <v>66</v>
      </c>
      <c r="M10" s="152">
        <v>200</v>
      </c>
      <c r="N10" s="116">
        <v>50</v>
      </c>
      <c r="O10" s="117">
        <v>160.33000000000001</v>
      </c>
      <c r="P10" s="117">
        <v>1.67</v>
      </c>
      <c r="Q10" s="117">
        <v>0.43</v>
      </c>
      <c r="R10" s="117">
        <v>28</v>
      </c>
      <c r="S10" s="117">
        <v>190</v>
      </c>
      <c r="T10" s="152">
        <v>32066</v>
      </c>
      <c r="U10" s="152">
        <v>11702</v>
      </c>
      <c r="V10" s="152">
        <v>9500</v>
      </c>
      <c r="W10" s="152">
        <v>0</v>
      </c>
      <c r="X10" s="152">
        <v>53268</v>
      </c>
      <c r="Y10" s="118" t="s">
        <v>186</v>
      </c>
      <c r="Z10" s="116">
        <v>45800</v>
      </c>
      <c r="AA10" s="152">
        <v>1145</v>
      </c>
      <c r="AB10" s="152">
        <v>53000</v>
      </c>
      <c r="AC10" s="152">
        <v>1644</v>
      </c>
      <c r="AD10" s="153">
        <v>1</v>
      </c>
      <c r="AE10" s="116">
        <v>0</v>
      </c>
      <c r="AF10" s="153">
        <v>6</v>
      </c>
      <c r="AG10" s="152">
        <v>0</v>
      </c>
      <c r="AH10" s="152">
        <v>2789</v>
      </c>
      <c r="AI10" s="152">
        <v>50479</v>
      </c>
      <c r="AJ10" s="152">
        <v>0</v>
      </c>
      <c r="AK10" s="152">
        <v>50479</v>
      </c>
      <c r="AL10" s="152">
        <v>3180</v>
      </c>
      <c r="AN10" s="145"/>
      <c r="AO10" s="37"/>
      <c r="AQ10" s="144"/>
      <c r="AR10" s="146"/>
      <c r="AS10" s="37"/>
      <c r="AT10" s="147"/>
      <c r="AU10" s="147"/>
      <c r="AV10" s="147"/>
      <c r="AW10" s="147"/>
      <c r="BD10" s="145"/>
      <c r="BE10" s="145"/>
      <c r="BF10" s="145"/>
      <c r="BG10" s="149"/>
      <c r="BJ10" s="145"/>
      <c r="BK10" s="145"/>
      <c r="BP10" s="145"/>
      <c r="BT10" s="39" t="s">
        <v>188</v>
      </c>
      <c r="BV10" s="39">
        <v>0</v>
      </c>
      <c r="BX10" s="39" t="s">
        <v>189</v>
      </c>
      <c r="BZ10" s="39">
        <v>59</v>
      </c>
      <c r="CA10" s="148"/>
      <c r="CB10" s="39" t="s">
        <v>179</v>
      </c>
      <c r="CC10" s="148">
        <v>3025</v>
      </c>
      <c r="CD10" s="148">
        <v>0</v>
      </c>
      <c r="CE10" s="148"/>
      <c r="CF10" s="39" t="s">
        <v>179</v>
      </c>
      <c r="CG10" s="39" t="s">
        <v>187</v>
      </c>
    </row>
    <row r="11" spans="1:85" s="39" customFormat="1" ht="12.9">
      <c r="A11" s="119" t="s">
        <v>196</v>
      </c>
      <c r="B11" s="112" t="s">
        <v>97</v>
      </c>
      <c r="C11" s="112" t="s">
        <v>154</v>
      </c>
      <c r="D11" s="112" t="s">
        <v>98</v>
      </c>
      <c r="E11" s="112" t="s">
        <v>99</v>
      </c>
      <c r="F11" s="113" t="s">
        <v>100</v>
      </c>
      <c r="G11" s="113" t="s">
        <v>101</v>
      </c>
      <c r="H11" s="113" t="s">
        <v>155</v>
      </c>
      <c r="I11" s="113" t="s">
        <v>102</v>
      </c>
      <c r="J11" s="150">
        <v>200</v>
      </c>
      <c r="K11" s="151"/>
      <c r="L11" s="152">
        <v>66</v>
      </c>
      <c r="M11" s="152">
        <v>200</v>
      </c>
      <c r="N11" s="116">
        <v>50</v>
      </c>
      <c r="O11" s="117"/>
      <c r="P11" s="117"/>
      <c r="Q11" s="117"/>
      <c r="R11" s="117"/>
      <c r="S11" s="117"/>
      <c r="T11" s="152"/>
      <c r="U11" s="152"/>
      <c r="V11" s="152"/>
      <c r="W11" s="152">
        <v>13470</v>
      </c>
      <c r="X11" s="152">
        <v>13470</v>
      </c>
      <c r="Y11" s="118"/>
      <c r="Z11" s="116"/>
      <c r="AA11" s="152"/>
      <c r="AB11" s="152"/>
      <c r="AC11" s="152"/>
      <c r="AD11" s="153"/>
      <c r="AE11" s="116"/>
      <c r="AF11" s="153"/>
      <c r="AG11" s="152"/>
      <c r="AH11" s="152"/>
      <c r="AI11" s="152">
        <v>13470</v>
      </c>
      <c r="AJ11" s="152">
        <v>0</v>
      </c>
      <c r="AK11" s="152">
        <v>13470</v>
      </c>
      <c r="AL11" s="152"/>
      <c r="AN11" s="145"/>
      <c r="AO11" s="37"/>
      <c r="AQ11" s="144"/>
      <c r="AR11" s="146"/>
      <c r="AS11" s="37"/>
      <c r="AT11" s="147"/>
      <c r="AU11" s="147"/>
      <c r="AV11" s="147"/>
      <c r="AW11" s="147"/>
      <c r="BD11" s="145"/>
      <c r="BE11" s="145"/>
      <c r="BF11" s="145"/>
      <c r="BG11" s="149"/>
      <c r="BJ11" s="145"/>
      <c r="BK11" s="145"/>
      <c r="BP11" s="145"/>
      <c r="CA11" s="148"/>
      <c r="CC11" s="148"/>
      <c r="CD11" s="148"/>
      <c r="CE11" s="148"/>
    </row>
    <row r="12" spans="1:85" s="39" customFormat="1" ht="12.9">
      <c r="A12" s="119" t="s">
        <v>200</v>
      </c>
      <c r="B12" s="112" t="s">
        <v>97</v>
      </c>
      <c r="C12" s="112" t="s">
        <v>154</v>
      </c>
      <c r="D12" s="112" t="s">
        <v>98</v>
      </c>
      <c r="E12" s="112" t="s">
        <v>99</v>
      </c>
      <c r="F12" s="113" t="s">
        <v>100</v>
      </c>
      <c r="G12" s="113" t="s">
        <v>101</v>
      </c>
      <c r="H12" s="113" t="s">
        <v>155</v>
      </c>
      <c r="I12" s="113" t="s">
        <v>102</v>
      </c>
      <c r="J12" s="150">
        <v>200</v>
      </c>
      <c r="K12" s="151"/>
      <c r="L12" s="152">
        <v>66</v>
      </c>
      <c r="M12" s="152">
        <v>200</v>
      </c>
      <c r="N12" s="116">
        <v>50</v>
      </c>
      <c r="O12" s="117">
        <v>139.83000000000001</v>
      </c>
      <c r="P12" s="117">
        <v>0</v>
      </c>
      <c r="Q12" s="117">
        <v>0</v>
      </c>
      <c r="R12" s="117">
        <v>48</v>
      </c>
      <c r="S12" s="117">
        <v>187.83</v>
      </c>
      <c r="T12" s="152">
        <v>27966</v>
      </c>
      <c r="U12" s="152">
        <v>19200</v>
      </c>
      <c r="V12" s="152">
        <v>9392</v>
      </c>
      <c r="W12" s="152">
        <v>0</v>
      </c>
      <c r="X12" s="152">
        <v>56558</v>
      </c>
      <c r="Y12" s="118" t="s">
        <v>163</v>
      </c>
      <c r="Z12" s="116">
        <v>45800</v>
      </c>
      <c r="AA12" s="152">
        <v>1145</v>
      </c>
      <c r="AB12" s="152">
        <v>53000</v>
      </c>
      <c r="AC12" s="152">
        <v>1644</v>
      </c>
      <c r="AD12" s="153">
        <v>1</v>
      </c>
      <c r="AE12" s="116">
        <v>0</v>
      </c>
      <c r="AF12" s="153">
        <v>75</v>
      </c>
      <c r="AG12" s="152">
        <v>0</v>
      </c>
      <c r="AH12" s="152">
        <v>2789</v>
      </c>
      <c r="AI12" s="152">
        <v>53769</v>
      </c>
      <c r="AJ12" s="152">
        <v>0</v>
      </c>
      <c r="AK12" s="152">
        <v>53769</v>
      </c>
      <c r="AL12" s="152">
        <v>3180</v>
      </c>
      <c r="AN12" s="145"/>
      <c r="AO12" s="37"/>
      <c r="AQ12" s="144"/>
      <c r="AR12" s="146"/>
      <c r="AS12" s="37"/>
      <c r="AT12" s="147"/>
      <c r="AU12" s="147"/>
      <c r="AV12" s="147"/>
      <c r="AW12" s="147"/>
      <c r="BD12" s="145"/>
      <c r="BE12" s="145"/>
      <c r="BF12" s="145"/>
      <c r="BG12" s="149"/>
      <c r="BJ12" s="145"/>
      <c r="BK12" s="145"/>
      <c r="BP12" s="145"/>
      <c r="BT12" s="39" t="s">
        <v>198</v>
      </c>
      <c r="BV12" s="39">
        <v>0</v>
      </c>
      <c r="BX12" s="39" t="s">
        <v>199</v>
      </c>
      <c r="BZ12" s="39">
        <v>56</v>
      </c>
      <c r="CA12" s="148"/>
      <c r="CB12" s="39" t="s">
        <v>183</v>
      </c>
      <c r="CC12" s="148">
        <v>55945</v>
      </c>
      <c r="CD12" s="148">
        <v>11760</v>
      </c>
      <c r="CE12" s="148"/>
      <c r="CF12" s="39" t="s">
        <v>183</v>
      </c>
    </row>
    <row r="13" spans="1:85" s="180" customFormat="1" ht="12.9">
      <c r="A13" s="119" t="s">
        <v>204</v>
      </c>
      <c r="B13" s="112" t="s">
        <v>97</v>
      </c>
      <c r="C13" s="112" t="s">
        <v>126</v>
      </c>
      <c r="D13" s="112" t="s">
        <v>98</v>
      </c>
      <c r="E13" s="112" t="s">
        <v>99</v>
      </c>
      <c r="F13" s="113" t="s">
        <v>100</v>
      </c>
      <c r="G13" s="113" t="s">
        <v>101</v>
      </c>
      <c r="H13" s="113" t="s">
        <v>127</v>
      </c>
      <c r="I13" s="113" t="s">
        <v>102</v>
      </c>
      <c r="J13" s="150">
        <v>200</v>
      </c>
      <c r="K13" s="151"/>
      <c r="L13" s="152">
        <v>66</v>
      </c>
      <c r="M13" s="152">
        <v>200</v>
      </c>
      <c r="N13" s="116">
        <v>50</v>
      </c>
      <c r="O13" s="117">
        <v>116.83</v>
      </c>
      <c r="P13" s="117">
        <v>0</v>
      </c>
      <c r="Q13" s="117">
        <v>0</v>
      </c>
      <c r="R13" s="117">
        <v>48.83</v>
      </c>
      <c r="S13" s="117">
        <v>165.66</v>
      </c>
      <c r="T13" s="152">
        <v>23366</v>
      </c>
      <c r="U13" s="152">
        <v>19532</v>
      </c>
      <c r="V13" s="152">
        <v>8283</v>
      </c>
      <c r="W13" s="152">
        <v>0</v>
      </c>
      <c r="X13" s="152">
        <v>51181</v>
      </c>
      <c r="Y13" s="118" t="s">
        <v>163</v>
      </c>
      <c r="Z13" s="116">
        <v>45800</v>
      </c>
      <c r="AA13" s="152">
        <v>1145</v>
      </c>
      <c r="AB13" s="152">
        <v>53000</v>
      </c>
      <c r="AC13" s="152">
        <v>1644</v>
      </c>
      <c r="AD13" s="153">
        <v>1</v>
      </c>
      <c r="AE13" s="116">
        <v>0</v>
      </c>
      <c r="AF13" s="153">
        <v>-38</v>
      </c>
      <c r="AG13" s="152">
        <v>0</v>
      </c>
      <c r="AH13" s="152">
        <v>2789</v>
      </c>
      <c r="AI13" s="152">
        <v>48392</v>
      </c>
      <c r="AJ13" s="152">
        <v>0</v>
      </c>
      <c r="AK13" s="152">
        <v>48392</v>
      </c>
      <c r="AL13" s="152">
        <v>3180</v>
      </c>
      <c r="AN13" s="181"/>
      <c r="AO13" s="182"/>
      <c r="AQ13" s="183"/>
      <c r="AR13" s="184"/>
      <c r="AS13" s="182"/>
      <c r="AT13" s="185"/>
      <c r="AU13" s="185"/>
      <c r="AV13" s="185"/>
      <c r="AW13" s="185"/>
      <c r="BD13" s="181"/>
      <c r="BE13" s="181"/>
      <c r="BF13" s="181"/>
      <c r="BG13" s="186"/>
      <c r="BJ13" s="181"/>
      <c r="BK13" s="181"/>
      <c r="BP13" s="181"/>
      <c r="BT13" s="180" t="s">
        <v>202</v>
      </c>
      <c r="BV13" s="180">
        <v>0</v>
      </c>
      <c r="BX13" s="180" t="s">
        <v>203</v>
      </c>
      <c r="BZ13" s="180">
        <v>56</v>
      </c>
      <c r="CA13" s="187"/>
      <c r="CB13" s="180" t="s">
        <v>201</v>
      </c>
      <c r="CC13" s="187">
        <v>46070</v>
      </c>
      <c r="CD13" s="187">
        <v>28412.799999999999</v>
      </c>
      <c r="CE13" s="187"/>
      <c r="CF13" s="180" t="s">
        <v>201</v>
      </c>
    </row>
    <row r="14" spans="1:85" s="39" customFormat="1" ht="12.9">
      <c r="A14" s="119" t="s">
        <v>211</v>
      </c>
      <c r="B14" s="112" t="s">
        <v>97</v>
      </c>
      <c r="C14" s="112" t="s">
        <v>126</v>
      </c>
      <c r="D14" s="112" t="s">
        <v>98</v>
      </c>
      <c r="E14" s="112" t="s">
        <v>99</v>
      </c>
      <c r="F14" s="113" t="s">
        <v>100</v>
      </c>
      <c r="G14" s="113" t="s">
        <v>101</v>
      </c>
      <c r="H14" s="113" t="s">
        <v>127</v>
      </c>
      <c r="I14" s="113" t="s">
        <v>102</v>
      </c>
      <c r="J14" s="150">
        <v>200</v>
      </c>
      <c r="K14" s="151"/>
      <c r="L14" s="152">
        <v>66</v>
      </c>
      <c r="M14" s="152">
        <v>200</v>
      </c>
      <c r="N14" s="116">
        <v>50</v>
      </c>
      <c r="O14" s="117">
        <v>152.83000000000001</v>
      </c>
      <c r="P14" s="117">
        <v>0.83</v>
      </c>
      <c r="Q14" s="117">
        <v>0</v>
      </c>
      <c r="R14" s="117">
        <v>43.83</v>
      </c>
      <c r="S14" s="117">
        <v>197.49</v>
      </c>
      <c r="T14" s="152">
        <v>30566</v>
      </c>
      <c r="U14" s="152">
        <v>17753</v>
      </c>
      <c r="V14" s="152">
        <v>9875</v>
      </c>
      <c r="W14" s="152">
        <v>0</v>
      </c>
      <c r="X14" s="152">
        <v>58194</v>
      </c>
      <c r="Y14" s="112" t="s">
        <v>186</v>
      </c>
      <c r="Z14" s="116">
        <v>45800</v>
      </c>
      <c r="AA14" s="152">
        <v>1145</v>
      </c>
      <c r="AB14" s="152">
        <v>53000</v>
      </c>
      <c r="AC14" s="152">
        <v>1644</v>
      </c>
      <c r="AD14" s="153">
        <v>1</v>
      </c>
      <c r="AE14" s="116">
        <v>0</v>
      </c>
      <c r="AF14" s="153">
        <v>110</v>
      </c>
      <c r="AG14" s="152">
        <v>0</v>
      </c>
      <c r="AH14" s="152">
        <v>2789</v>
      </c>
      <c r="AI14" s="152">
        <v>55405</v>
      </c>
      <c r="AJ14" s="152">
        <v>0</v>
      </c>
      <c r="AK14" s="152">
        <v>55405</v>
      </c>
      <c r="AL14" s="152">
        <v>3180</v>
      </c>
      <c r="AN14" s="145"/>
      <c r="AO14" s="37"/>
      <c r="AQ14" s="144"/>
      <c r="AR14" s="146"/>
      <c r="BD14" s="145"/>
      <c r="BE14" s="145"/>
      <c r="BF14" s="145"/>
      <c r="BJ14" s="145"/>
      <c r="BK14" s="145"/>
      <c r="BP14" s="145"/>
      <c r="BT14" s="39" t="s">
        <v>208</v>
      </c>
      <c r="BV14" s="39">
        <v>0</v>
      </c>
      <c r="BX14" s="39" t="s">
        <v>209</v>
      </c>
      <c r="BZ14" s="39">
        <v>57</v>
      </c>
      <c r="CA14" s="148"/>
      <c r="CB14" s="39" t="s">
        <v>210</v>
      </c>
      <c r="CC14" s="148">
        <v>59655</v>
      </c>
      <c r="CD14" s="148">
        <v>13400</v>
      </c>
      <c r="CE14" s="148"/>
      <c r="CF14" s="39" t="s">
        <v>210</v>
      </c>
    </row>
    <row r="15" spans="1:85" s="39" customFormat="1" ht="12.9">
      <c r="A15" s="112" t="s">
        <v>217</v>
      </c>
      <c r="B15" s="112" t="s">
        <v>97</v>
      </c>
      <c r="C15" s="112" t="s">
        <v>154</v>
      </c>
      <c r="D15" s="112" t="s">
        <v>98</v>
      </c>
      <c r="E15" s="112" t="s">
        <v>99</v>
      </c>
      <c r="F15" s="112" t="s">
        <v>100</v>
      </c>
      <c r="G15" s="113" t="s">
        <v>101</v>
      </c>
      <c r="H15" s="112" t="s">
        <v>155</v>
      </c>
      <c r="I15" s="113" t="s">
        <v>102</v>
      </c>
      <c r="J15" s="150">
        <v>200</v>
      </c>
      <c r="K15" s="151"/>
      <c r="L15" s="152">
        <v>66</v>
      </c>
      <c r="M15" s="152">
        <v>200</v>
      </c>
      <c r="N15" s="116">
        <v>50</v>
      </c>
      <c r="O15" s="117"/>
      <c r="P15" s="117"/>
      <c r="Q15" s="117"/>
      <c r="R15" s="117"/>
      <c r="S15" s="117"/>
      <c r="T15" s="152"/>
      <c r="U15" s="152"/>
      <c r="V15" s="152"/>
      <c r="W15" s="152">
        <v>11653</v>
      </c>
      <c r="X15" s="152">
        <v>11653</v>
      </c>
      <c r="Y15" s="118"/>
      <c r="Z15" s="116"/>
      <c r="AA15" s="152"/>
      <c r="AB15" s="152"/>
      <c r="AC15" s="152"/>
      <c r="AD15" s="200"/>
      <c r="AE15" s="116"/>
      <c r="AF15" s="153"/>
      <c r="AG15" s="152"/>
      <c r="AH15" s="152"/>
      <c r="AI15" s="152">
        <v>11653</v>
      </c>
      <c r="AJ15" s="152">
        <v>0</v>
      </c>
      <c r="AK15" s="152">
        <v>11653</v>
      </c>
      <c r="AL15" s="200"/>
    </row>
    <row r="16" spans="1:85" s="39" customFormat="1" ht="12.9">
      <c r="A16" s="119" t="s">
        <v>221</v>
      </c>
      <c r="B16" s="112" t="s">
        <v>97</v>
      </c>
      <c r="C16" s="112" t="s">
        <v>126</v>
      </c>
      <c r="D16" s="112" t="s">
        <v>98</v>
      </c>
      <c r="E16" s="112" t="s">
        <v>99</v>
      </c>
      <c r="F16" s="113" t="s">
        <v>100</v>
      </c>
      <c r="G16" s="113" t="s">
        <v>101</v>
      </c>
      <c r="H16" s="113" t="s">
        <v>127</v>
      </c>
      <c r="I16" s="113" t="s">
        <v>102</v>
      </c>
      <c r="J16" s="150">
        <v>200</v>
      </c>
      <c r="K16" s="151"/>
      <c r="L16" s="152">
        <v>66</v>
      </c>
      <c r="M16" s="152">
        <v>200</v>
      </c>
      <c r="N16" s="116">
        <v>50</v>
      </c>
      <c r="O16" s="117">
        <v>168.33</v>
      </c>
      <c r="P16" s="117">
        <v>0.33</v>
      </c>
      <c r="Q16" s="117">
        <v>0</v>
      </c>
      <c r="R16" s="117">
        <v>24</v>
      </c>
      <c r="S16" s="117">
        <v>192.66000000000003</v>
      </c>
      <c r="T16" s="152">
        <v>33666</v>
      </c>
      <c r="U16" s="152">
        <v>9688</v>
      </c>
      <c r="V16" s="152">
        <v>9633</v>
      </c>
      <c r="W16" s="152">
        <v>0</v>
      </c>
      <c r="X16" s="152">
        <v>52987</v>
      </c>
      <c r="Y16" s="112" t="s">
        <v>186</v>
      </c>
      <c r="Z16" s="116">
        <v>45800</v>
      </c>
      <c r="AA16" s="152">
        <v>1145</v>
      </c>
      <c r="AB16" s="152">
        <v>53000</v>
      </c>
      <c r="AC16" s="152">
        <v>1644</v>
      </c>
      <c r="AD16" s="153">
        <v>1</v>
      </c>
      <c r="AE16" s="116">
        <v>0</v>
      </c>
      <c r="AF16" s="153">
        <v>0</v>
      </c>
      <c r="AG16" s="152">
        <v>0</v>
      </c>
      <c r="AH16" s="152">
        <v>2789</v>
      </c>
      <c r="AI16" s="152">
        <v>50198</v>
      </c>
      <c r="AJ16" s="152">
        <v>0</v>
      </c>
      <c r="AK16" s="152">
        <v>50198</v>
      </c>
      <c r="AL16" s="152">
        <v>3180</v>
      </c>
      <c r="AN16" s="145"/>
      <c r="AO16" s="37"/>
      <c r="AQ16" s="144"/>
      <c r="AR16" s="146"/>
      <c r="BD16" s="145"/>
      <c r="BE16" s="145"/>
      <c r="BF16" s="145"/>
      <c r="BJ16" s="145"/>
      <c r="BK16" s="145"/>
      <c r="BP16" s="145"/>
      <c r="BT16" s="39" t="s">
        <v>219</v>
      </c>
      <c r="BV16" s="39">
        <v>0</v>
      </c>
      <c r="BX16" s="39" t="s">
        <v>220</v>
      </c>
      <c r="BZ16" s="39">
        <v>57</v>
      </c>
      <c r="CA16" s="148"/>
      <c r="CB16" s="39" t="s">
        <v>210</v>
      </c>
      <c r="CC16" s="148">
        <v>64075</v>
      </c>
      <c r="CD16" s="148">
        <v>13900</v>
      </c>
      <c r="CE16" s="148"/>
      <c r="CF16" s="39" t="s">
        <v>210</v>
      </c>
    </row>
    <row r="17" spans="1:84" s="39" customFormat="1" ht="12.9">
      <c r="A17" s="119" t="s">
        <v>226</v>
      </c>
      <c r="B17" s="112" t="s">
        <v>97</v>
      </c>
      <c r="C17" s="112" t="s">
        <v>126</v>
      </c>
      <c r="D17" s="112" t="s">
        <v>98</v>
      </c>
      <c r="E17" s="112" t="s">
        <v>99</v>
      </c>
      <c r="F17" s="113" t="s">
        <v>100</v>
      </c>
      <c r="G17" s="113" t="s">
        <v>101</v>
      </c>
      <c r="H17" s="113" t="s">
        <v>127</v>
      </c>
      <c r="I17" s="113" t="s">
        <v>102</v>
      </c>
      <c r="J17" s="150">
        <v>200</v>
      </c>
      <c r="K17" s="151"/>
      <c r="L17" s="152">
        <v>66</v>
      </c>
      <c r="M17" s="152">
        <v>200</v>
      </c>
      <c r="N17" s="116">
        <v>50</v>
      </c>
      <c r="O17" s="117">
        <v>153</v>
      </c>
      <c r="P17" s="117">
        <v>0</v>
      </c>
      <c r="Q17" s="117">
        <v>0</v>
      </c>
      <c r="R17" s="117">
        <v>30.5</v>
      </c>
      <c r="S17" s="117">
        <v>183.5</v>
      </c>
      <c r="T17" s="152">
        <v>30600</v>
      </c>
      <c r="U17" s="152">
        <v>12200</v>
      </c>
      <c r="V17" s="152">
        <v>9175</v>
      </c>
      <c r="W17" s="152">
        <v>0</v>
      </c>
      <c r="X17" s="152">
        <v>51975</v>
      </c>
      <c r="Y17" s="112" t="s">
        <v>222</v>
      </c>
      <c r="Z17" s="116">
        <v>45800</v>
      </c>
      <c r="AA17" s="152">
        <v>1145</v>
      </c>
      <c r="AB17" s="152">
        <v>55400</v>
      </c>
      <c r="AC17" s="152">
        <v>1718</v>
      </c>
      <c r="AD17" s="153">
        <v>1</v>
      </c>
      <c r="AE17" s="116">
        <v>0</v>
      </c>
      <c r="AF17" s="153">
        <v>210</v>
      </c>
      <c r="AG17" s="152">
        <v>0</v>
      </c>
      <c r="AH17" s="152">
        <v>2863</v>
      </c>
      <c r="AI17" s="152">
        <v>49112</v>
      </c>
      <c r="AJ17" s="152">
        <v>0</v>
      </c>
      <c r="AK17" s="152">
        <v>49112</v>
      </c>
      <c r="AL17" s="152">
        <v>3324</v>
      </c>
      <c r="AN17" s="145"/>
      <c r="AO17" s="37"/>
      <c r="AQ17" s="144"/>
      <c r="AR17" s="146"/>
      <c r="BD17" s="145"/>
      <c r="BE17" s="145"/>
      <c r="BF17" s="145"/>
      <c r="BJ17" s="145"/>
      <c r="BK17" s="145"/>
      <c r="BP17" s="145"/>
      <c r="BT17" s="39" t="s">
        <v>223</v>
      </c>
      <c r="BV17" s="39">
        <v>0</v>
      </c>
      <c r="BX17" s="39" t="s">
        <v>224</v>
      </c>
      <c r="BZ17" s="39">
        <v>56</v>
      </c>
      <c r="CA17" s="148"/>
      <c r="CB17" s="39" t="s">
        <v>225</v>
      </c>
      <c r="CC17" s="148">
        <v>1950</v>
      </c>
      <c r="CD17" s="148">
        <v>7700</v>
      </c>
      <c r="CE17" s="148"/>
      <c r="CF17" s="39" t="s">
        <v>225</v>
      </c>
    </row>
    <row r="18" spans="1:84" s="39" customFormat="1" ht="12.9">
      <c r="A18" s="119" t="s">
        <v>229</v>
      </c>
      <c r="B18" s="112" t="s">
        <v>97</v>
      </c>
      <c r="C18" s="112" t="s">
        <v>126</v>
      </c>
      <c r="D18" s="112" t="s">
        <v>98</v>
      </c>
      <c r="E18" s="112" t="s">
        <v>99</v>
      </c>
      <c r="F18" s="113" t="s">
        <v>100</v>
      </c>
      <c r="G18" s="113" t="s">
        <v>101</v>
      </c>
      <c r="H18" s="113" t="s">
        <v>127</v>
      </c>
      <c r="I18" s="113" t="s">
        <v>102</v>
      </c>
      <c r="J18" s="150">
        <v>200</v>
      </c>
      <c r="K18" s="151"/>
      <c r="L18" s="152">
        <v>66</v>
      </c>
      <c r="M18" s="152">
        <v>200</v>
      </c>
      <c r="N18" s="116">
        <v>50</v>
      </c>
      <c r="O18" s="117">
        <v>124</v>
      </c>
      <c r="P18" s="117">
        <v>0</v>
      </c>
      <c r="Q18" s="117">
        <v>0</v>
      </c>
      <c r="R18" s="117">
        <v>30</v>
      </c>
      <c r="S18" s="117">
        <v>154</v>
      </c>
      <c r="T18" s="152">
        <v>24800</v>
      </c>
      <c r="U18" s="152">
        <v>12000</v>
      </c>
      <c r="V18" s="152">
        <v>7700</v>
      </c>
      <c r="W18" s="152">
        <v>0</v>
      </c>
      <c r="X18" s="152">
        <v>44500</v>
      </c>
      <c r="Y18" s="112" t="s">
        <v>222</v>
      </c>
      <c r="Z18" s="116">
        <v>45800</v>
      </c>
      <c r="AA18" s="152">
        <v>1145</v>
      </c>
      <c r="AB18" s="152">
        <v>55400</v>
      </c>
      <c r="AC18" s="152">
        <v>1718</v>
      </c>
      <c r="AD18" s="153">
        <v>1</v>
      </c>
      <c r="AE18" s="116">
        <v>0</v>
      </c>
      <c r="AF18" s="153">
        <v>-230</v>
      </c>
      <c r="AG18" s="152">
        <v>0</v>
      </c>
      <c r="AH18" s="152">
        <v>2863</v>
      </c>
      <c r="AI18" s="152">
        <v>41637</v>
      </c>
      <c r="AJ18" s="152">
        <v>0</v>
      </c>
      <c r="AK18" s="152">
        <v>41637</v>
      </c>
      <c r="AL18" s="152">
        <v>3324</v>
      </c>
      <c r="AN18" s="145"/>
      <c r="AO18" s="37"/>
      <c r="AQ18" s="144"/>
      <c r="AR18" s="146"/>
      <c r="BD18" s="145"/>
      <c r="BE18" s="145"/>
      <c r="BF18" s="145"/>
      <c r="BJ18" s="145"/>
      <c r="BK18" s="145"/>
      <c r="BP18" s="145"/>
      <c r="BT18" s="39" t="s">
        <v>219</v>
      </c>
      <c r="BV18" s="39">
        <v>0</v>
      </c>
      <c r="BX18" s="39" t="s">
        <v>220</v>
      </c>
      <c r="BZ18" s="39">
        <v>57</v>
      </c>
      <c r="CA18" s="148"/>
      <c r="CB18" s="39" t="s">
        <v>210</v>
      </c>
      <c r="CC18" s="148">
        <v>67415</v>
      </c>
      <c r="CD18" s="148">
        <v>17720</v>
      </c>
      <c r="CE18" s="148"/>
      <c r="CF18" s="39" t="s">
        <v>210</v>
      </c>
    </row>
    <row r="19" spans="1:84" s="39" customFormat="1" ht="12.9">
      <c r="A19" s="112" t="s">
        <v>237</v>
      </c>
      <c r="B19" s="112" t="s">
        <v>97</v>
      </c>
      <c r="C19" s="112" t="s">
        <v>154</v>
      </c>
      <c r="D19" s="112" t="s">
        <v>98</v>
      </c>
      <c r="E19" s="112" t="s">
        <v>99</v>
      </c>
      <c r="F19" s="112" t="s">
        <v>100</v>
      </c>
      <c r="G19" s="113" t="s">
        <v>101</v>
      </c>
      <c r="H19" s="112" t="s">
        <v>155</v>
      </c>
      <c r="I19" s="113" t="s">
        <v>102</v>
      </c>
      <c r="J19" s="150">
        <v>200</v>
      </c>
      <c r="K19" s="151"/>
      <c r="L19" s="152">
        <v>66</v>
      </c>
      <c r="M19" s="152">
        <v>200</v>
      </c>
      <c r="N19" s="116">
        <v>50</v>
      </c>
      <c r="O19" s="117"/>
      <c r="P19" s="117"/>
      <c r="Q19" s="117"/>
      <c r="R19" s="117"/>
      <c r="S19" s="117"/>
      <c r="T19" s="152"/>
      <c r="U19" s="152"/>
      <c r="V19" s="152"/>
      <c r="W19" s="152">
        <v>6610</v>
      </c>
      <c r="X19" s="152">
        <v>6610</v>
      </c>
      <c r="Y19" s="118"/>
      <c r="Z19" s="116"/>
      <c r="AA19" s="152"/>
      <c r="AB19" s="152"/>
      <c r="AC19" s="152"/>
      <c r="AD19" s="200"/>
      <c r="AE19" s="116"/>
      <c r="AF19" s="153"/>
      <c r="AG19" s="152"/>
      <c r="AH19" s="152"/>
      <c r="AI19" s="152">
        <v>6610</v>
      </c>
      <c r="AJ19" s="152">
        <v>0</v>
      </c>
      <c r="AK19" s="152">
        <v>6610</v>
      </c>
      <c r="AL19" s="200"/>
    </row>
    <row r="20" spans="1:84" s="39" customFormat="1" ht="12.9">
      <c r="A20" s="119" t="s">
        <v>239</v>
      </c>
      <c r="B20" s="112" t="s">
        <v>97</v>
      </c>
      <c r="C20" s="112" t="s">
        <v>126</v>
      </c>
      <c r="D20" s="112" t="s">
        <v>98</v>
      </c>
      <c r="E20" s="112" t="s">
        <v>99</v>
      </c>
      <c r="F20" s="113" t="s">
        <v>100</v>
      </c>
      <c r="G20" s="113" t="s">
        <v>101</v>
      </c>
      <c r="H20" s="113" t="s">
        <v>127</v>
      </c>
      <c r="I20" s="113" t="s">
        <v>102</v>
      </c>
      <c r="J20" s="150">
        <v>200</v>
      </c>
      <c r="K20" s="151"/>
      <c r="L20" s="152">
        <v>66</v>
      </c>
      <c r="M20" s="152">
        <v>200</v>
      </c>
      <c r="N20" s="116">
        <v>50</v>
      </c>
      <c r="O20" s="117">
        <v>117.67</v>
      </c>
      <c r="P20" s="117">
        <v>0</v>
      </c>
      <c r="Q20" s="117">
        <v>0</v>
      </c>
      <c r="R20" s="117">
        <v>38.33</v>
      </c>
      <c r="S20" s="117">
        <v>156</v>
      </c>
      <c r="T20" s="152">
        <v>23534</v>
      </c>
      <c r="U20" s="152">
        <v>15332</v>
      </c>
      <c r="V20" s="152">
        <v>7800</v>
      </c>
      <c r="W20" s="152">
        <v>0</v>
      </c>
      <c r="X20" s="152">
        <v>46666</v>
      </c>
      <c r="Y20" s="112" t="s">
        <v>222</v>
      </c>
      <c r="Z20" s="116">
        <v>45800</v>
      </c>
      <c r="AA20" s="152">
        <v>1145</v>
      </c>
      <c r="AB20" s="152">
        <v>55400</v>
      </c>
      <c r="AC20" s="152">
        <v>1718</v>
      </c>
      <c r="AD20" s="153">
        <v>1</v>
      </c>
      <c r="AE20" s="116">
        <v>0</v>
      </c>
      <c r="AF20" s="153">
        <v>-184</v>
      </c>
      <c r="AG20" s="152">
        <v>0</v>
      </c>
      <c r="AH20" s="152">
        <v>2863</v>
      </c>
      <c r="AI20" s="152">
        <v>43803</v>
      </c>
      <c r="AJ20" s="152">
        <v>0</v>
      </c>
      <c r="AK20" s="152">
        <v>43803</v>
      </c>
      <c r="AL20" s="152">
        <v>3324</v>
      </c>
      <c r="AN20" s="145"/>
      <c r="AO20" s="37"/>
      <c r="AQ20" s="144"/>
      <c r="AR20" s="146"/>
      <c r="BD20" s="145"/>
      <c r="BE20" s="145"/>
      <c r="BF20" s="145"/>
      <c r="BJ20" s="145"/>
      <c r="BK20" s="145"/>
      <c r="BP20" s="145"/>
      <c r="BT20" s="39" t="s">
        <v>219</v>
      </c>
      <c r="BV20" s="39">
        <v>0</v>
      </c>
      <c r="BX20" s="39" t="s">
        <v>220</v>
      </c>
      <c r="BZ20" s="39">
        <v>57</v>
      </c>
      <c r="CA20" s="148"/>
      <c r="CB20" s="39" t="s">
        <v>225</v>
      </c>
      <c r="CC20" s="148">
        <v>1560</v>
      </c>
      <c r="CD20" s="148">
        <v>6160</v>
      </c>
      <c r="CE20" s="148"/>
      <c r="CF20" s="39" t="s">
        <v>225</v>
      </c>
    </row>
    <row r="21" spans="1:84" s="39" customFormat="1" ht="12.9">
      <c r="A21" s="119" t="s">
        <v>242</v>
      </c>
      <c r="B21" s="112" t="s">
        <v>97</v>
      </c>
      <c r="C21" s="112" t="s">
        <v>126</v>
      </c>
      <c r="D21" s="112" t="s">
        <v>98</v>
      </c>
      <c r="E21" s="112" t="s">
        <v>99</v>
      </c>
      <c r="F21" s="113" t="s">
        <v>100</v>
      </c>
      <c r="G21" s="113" t="s">
        <v>101</v>
      </c>
      <c r="H21" s="113" t="s">
        <v>127</v>
      </c>
      <c r="I21" s="113" t="s">
        <v>102</v>
      </c>
      <c r="J21" s="150">
        <v>200</v>
      </c>
      <c r="K21" s="151"/>
      <c r="L21" s="152">
        <v>66</v>
      </c>
      <c r="M21" s="152">
        <v>200</v>
      </c>
      <c r="N21" s="116">
        <v>50</v>
      </c>
      <c r="O21" s="117">
        <v>116.67</v>
      </c>
      <c r="P21" s="117">
        <v>0</v>
      </c>
      <c r="Q21" s="117">
        <v>0</v>
      </c>
      <c r="R21" s="117">
        <v>24</v>
      </c>
      <c r="S21" s="117">
        <v>140.67000000000002</v>
      </c>
      <c r="T21" s="152">
        <v>23334</v>
      </c>
      <c r="U21" s="152">
        <v>9600</v>
      </c>
      <c r="V21" s="152">
        <v>7034</v>
      </c>
      <c r="W21" s="152">
        <v>0</v>
      </c>
      <c r="X21" s="152">
        <v>39968</v>
      </c>
      <c r="Y21" s="112" t="s">
        <v>240</v>
      </c>
      <c r="Z21" s="116">
        <v>45800</v>
      </c>
      <c r="AA21" s="152">
        <v>1145</v>
      </c>
      <c r="AB21" s="152">
        <v>50600</v>
      </c>
      <c r="AC21" s="152">
        <v>1570</v>
      </c>
      <c r="AD21" s="153">
        <v>1</v>
      </c>
      <c r="AE21" s="116">
        <v>0</v>
      </c>
      <c r="AF21" s="153">
        <v>-224</v>
      </c>
      <c r="AG21" s="152">
        <v>0</v>
      </c>
      <c r="AH21" s="152">
        <v>2715</v>
      </c>
      <c r="AI21" s="152">
        <v>37253</v>
      </c>
      <c r="AJ21" s="152">
        <v>0</v>
      </c>
      <c r="AK21" s="152">
        <v>37253</v>
      </c>
      <c r="AL21" s="152">
        <v>3036</v>
      </c>
      <c r="AN21" s="145"/>
      <c r="AO21" s="37"/>
      <c r="AQ21" s="144"/>
      <c r="AR21" s="146"/>
      <c r="BD21" s="145"/>
      <c r="BE21" s="145"/>
      <c r="BF21" s="145"/>
      <c r="BJ21" s="145"/>
      <c r="BK21" s="145"/>
      <c r="BP21" s="145"/>
      <c r="BT21" s="39" t="s">
        <v>219</v>
      </c>
      <c r="BV21" s="39">
        <v>0</v>
      </c>
      <c r="BX21" s="39" t="s">
        <v>220</v>
      </c>
      <c r="BZ21" s="39">
        <v>58</v>
      </c>
      <c r="CA21" s="148"/>
      <c r="CB21" s="39" t="s">
        <v>241</v>
      </c>
      <c r="CC21" s="148">
        <v>31375</v>
      </c>
      <c r="CD21" s="148">
        <v>24485</v>
      </c>
      <c r="CE21" s="148"/>
      <c r="CF21" s="39" t="s">
        <v>241</v>
      </c>
    </row>
    <row r="22" spans="1:84" s="39" customFormat="1" ht="12.9">
      <c r="A22" s="214" t="s">
        <v>245</v>
      </c>
      <c r="B22" s="166" t="s">
        <v>97</v>
      </c>
      <c r="C22" s="166" t="s">
        <v>126</v>
      </c>
      <c r="D22" s="166" t="s">
        <v>98</v>
      </c>
      <c r="E22" s="166" t="s">
        <v>99</v>
      </c>
      <c r="F22" s="170" t="s">
        <v>100</v>
      </c>
      <c r="G22" s="170" t="s">
        <v>101</v>
      </c>
      <c r="H22" s="170" t="s">
        <v>127</v>
      </c>
      <c r="I22" s="170" t="s">
        <v>102</v>
      </c>
      <c r="J22" s="171">
        <v>200</v>
      </c>
      <c r="K22" s="172"/>
      <c r="L22" s="173">
        <v>66</v>
      </c>
      <c r="M22" s="173">
        <v>200</v>
      </c>
      <c r="N22" s="174">
        <v>50</v>
      </c>
      <c r="O22" s="175">
        <v>111.5</v>
      </c>
      <c r="P22" s="175">
        <v>0</v>
      </c>
      <c r="Q22" s="175">
        <v>0</v>
      </c>
      <c r="R22" s="175">
        <v>42</v>
      </c>
      <c r="S22" s="175">
        <v>153.5</v>
      </c>
      <c r="T22" s="173">
        <v>22300</v>
      </c>
      <c r="U22" s="173">
        <v>16800</v>
      </c>
      <c r="V22" s="173">
        <v>7675</v>
      </c>
      <c r="W22" s="173">
        <v>0</v>
      </c>
      <c r="X22" s="173">
        <v>46775</v>
      </c>
      <c r="Y22" s="166" t="s">
        <v>240</v>
      </c>
      <c r="Z22" s="174">
        <v>45800</v>
      </c>
      <c r="AA22" s="173">
        <v>1145</v>
      </c>
      <c r="AB22" s="173">
        <v>50600</v>
      </c>
      <c r="AC22" s="173">
        <v>1570</v>
      </c>
      <c r="AD22" s="179">
        <v>1</v>
      </c>
      <c r="AE22" s="174">
        <v>0</v>
      </c>
      <c r="AF22" s="179">
        <v>-81</v>
      </c>
      <c r="AG22" s="173">
        <v>0</v>
      </c>
      <c r="AH22" s="173">
        <v>2715</v>
      </c>
      <c r="AI22" s="173">
        <v>44060</v>
      </c>
      <c r="AJ22" s="173">
        <v>0</v>
      </c>
      <c r="AK22" s="173">
        <v>44060</v>
      </c>
      <c r="AL22" s="173">
        <v>3036</v>
      </c>
      <c r="AN22" s="145"/>
      <c r="AO22" s="37"/>
      <c r="AQ22" s="144"/>
      <c r="AR22" s="146"/>
      <c r="BD22" s="145"/>
      <c r="BE22" s="145"/>
      <c r="BF22" s="145"/>
      <c r="BJ22" s="145"/>
      <c r="BK22" s="145"/>
      <c r="BP22" s="145"/>
      <c r="BT22" s="39" t="s">
        <v>202</v>
      </c>
      <c r="BV22" s="39">
        <v>0</v>
      </c>
      <c r="BX22" s="39" t="s">
        <v>203</v>
      </c>
      <c r="BZ22" s="39">
        <v>57</v>
      </c>
      <c r="CA22" s="148"/>
      <c r="CB22" s="39" t="s">
        <v>201</v>
      </c>
      <c r="CC22" s="148">
        <v>49930</v>
      </c>
      <c r="CD22" s="148">
        <v>20189.3</v>
      </c>
      <c r="CE22" s="148"/>
      <c r="CF22" s="39" t="s">
        <v>201</v>
      </c>
    </row>
    <row r="23" spans="1:84" s="39" customFormat="1" ht="12.9">
      <c r="A23" s="106"/>
      <c r="B23" s="7"/>
      <c r="C23" s="7"/>
      <c r="D23" s="7"/>
      <c r="E23" s="7"/>
      <c r="F23" s="36"/>
      <c r="G23" s="36"/>
      <c r="H23" s="36"/>
      <c r="I23" s="36"/>
      <c r="J23" s="167"/>
      <c r="K23" s="168"/>
      <c r="L23" s="37"/>
      <c r="M23" s="37"/>
      <c r="N23" s="38"/>
      <c r="O23" s="105"/>
      <c r="P23" s="105"/>
      <c r="Q23" s="105"/>
      <c r="R23" s="105"/>
      <c r="S23" s="105"/>
      <c r="T23" s="37"/>
      <c r="U23" s="37"/>
      <c r="V23" s="37"/>
      <c r="W23" s="37"/>
      <c r="X23" s="37"/>
      <c r="Y23" s="169"/>
      <c r="Z23" s="38"/>
      <c r="AA23" s="37"/>
      <c r="AB23" s="37"/>
      <c r="AC23" s="37"/>
      <c r="AD23" s="144"/>
      <c r="AE23" s="38"/>
      <c r="AF23" s="144"/>
      <c r="AG23" s="37"/>
      <c r="AH23" s="37"/>
      <c r="AI23" s="37"/>
      <c r="AJ23" s="37"/>
      <c r="AK23" s="37"/>
      <c r="AL23" s="37"/>
      <c r="AN23" s="145"/>
      <c r="AO23" s="37"/>
      <c r="AQ23" s="144"/>
      <c r="AR23" s="146"/>
      <c r="AS23" s="37"/>
      <c r="AT23" s="147"/>
      <c r="AU23" s="147"/>
      <c r="AV23" s="147"/>
      <c r="AW23" s="147"/>
      <c r="BD23" s="145"/>
      <c r="BE23" s="145"/>
      <c r="BF23" s="145"/>
      <c r="BG23" s="149"/>
      <c r="BJ23" s="145"/>
      <c r="BK23" s="145"/>
      <c r="BP23" s="145"/>
      <c r="CA23" s="148"/>
      <c r="CC23" s="148"/>
      <c r="CD23" s="148"/>
      <c r="CE23" s="148"/>
    </row>
    <row r="24" spans="1:84" s="39" customFormat="1" ht="12.9">
      <c r="A24" s="106"/>
      <c r="B24" s="7"/>
      <c r="C24" s="7"/>
      <c r="D24" s="7"/>
      <c r="E24" s="7"/>
      <c r="F24" s="36"/>
      <c r="G24" s="36"/>
      <c r="H24" s="36"/>
      <c r="I24" s="36"/>
      <c r="J24" s="167"/>
      <c r="K24" s="168"/>
      <c r="L24" s="37"/>
      <c r="M24" s="37"/>
      <c r="N24" s="38"/>
      <c r="O24" s="105"/>
      <c r="P24" s="105"/>
      <c r="Q24" s="105"/>
      <c r="R24" s="105"/>
      <c r="S24" s="105"/>
      <c r="T24" s="37"/>
      <c r="U24" s="37"/>
      <c r="V24" s="37"/>
      <c r="W24" s="37"/>
      <c r="X24" s="37"/>
      <c r="Y24" s="169"/>
      <c r="Z24" s="38"/>
      <c r="AA24" s="37"/>
      <c r="AB24" s="37"/>
      <c r="AC24" s="37"/>
      <c r="AD24" s="144"/>
      <c r="AE24" s="38"/>
      <c r="AF24" s="144"/>
      <c r="AG24" s="37"/>
      <c r="AH24" s="37"/>
      <c r="AI24" s="37"/>
      <c r="AJ24" s="37"/>
      <c r="AK24" s="37"/>
      <c r="AL24" s="37"/>
      <c r="AN24" s="145"/>
      <c r="AO24" s="37"/>
      <c r="AQ24" s="144"/>
      <c r="AR24" s="146"/>
      <c r="AS24" s="37"/>
      <c r="AT24" s="147"/>
      <c r="AU24" s="147"/>
      <c r="AV24" s="147"/>
      <c r="AW24" s="147"/>
      <c r="BD24" s="145"/>
      <c r="BE24" s="145"/>
      <c r="BF24" s="145"/>
      <c r="BG24" s="149"/>
      <c r="BJ24" s="145"/>
      <c r="BK24" s="145"/>
      <c r="BP24" s="145"/>
      <c r="CA24" s="148"/>
      <c r="CC24" s="148"/>
      <c r="CD24" s="148"/>
      <c r="CE24" s="148"/>
    </row>
    <row r="25" spans="1:84" s="39" customFormat="1" ht="12.9">
      <c r="A25" s="106"/>
      <c r="B25" s="7"/>
      <c r="C25" s="166" t="s">
        <v>205</v>
      </c>
      <c r="D25" s="166" t="str">
        <f>F6</f>
        <v>曾馨幼</v>
      </c>
      <c r="E25" s="166" t="s">
        <v>61</v>
      </c>
      <c r="F25" s="170" t="str">
        <f>C6</f>
        <v>F224490326</v>
      </c>
      <c r="G25" s="170"/>
      <c r="H25" s="170" t="s">
        <v>206</v>
      </c>
      <c r="I25" s="170"/>
      <c r="J25" s="171"/>
      <c r="K25" s="172"/>
      <c r="L25" s="173"/>
      <c r="M25" s="173"/>
      <c r="N25" s="174"/>
      <c r="O25" s="175"/>
      <c r="P25" s="175"/>
      <c r="Q25" s="105"/>
      <c r="R25" s="105"/>
      <c r="S25" s="105"/>
      <c r="T25" s="37"/>
      <c r="U25" s="37"/>
      <c r="V25" s="37"/>
      <c r="W25" s="37"/>
      <c r="X25" s="37"/>
      <c r="Y25" s="169"/>
      <c r="Z25" s="38"/>
      <c r="AA25" s="37"/>
      <c r="AB25" s="37"/>
      <c r="AC25" s="37"/>
      <c r="AD25" s="144"/>
      <c r="AE25" s="38"/>
      <c r="AF25" s="144"/>
      <c r="AG25" s="37"/>
      <c r="AH25" s="37"/>
      <c r="AI25" s="37"/>
      <c r="AJ25" s="37"/>
      <c r="AK25" s="37"/>
      <c r="AL25" s="37"/>
      <c r="AN25" s="145"/>
      <c r="AO25" s="37"/>
      <c r="AQ25" s="144"/>
      <c r="AR25" s="146"/>
      <c r="AS25" s="37"/>
      <c r="AT25" s="147"/>
      <c r="AU25" s="147"/>
      <c r="AV25" s="147"/>
      <c r="AW25" s="147"/>
      <c r="BD25" s="145"/>
      <c r="BE25" s="145"/>
      <c r="BF25" s="145"/>
      <c r="BG25" s="149"/>
      <c r="BJ25" s="145"/>
      <c r="BK25" s="145"/>
      <c r="BP25" s="145"/>
      <c r="CA25" s="148"/>
      <c r="CC25" s="148"/>
      <c r="CD25" s="148"/>
      <c r="CE25" s="148"/>
    </row>
    <row r="26" spans="1:84" s="39" customFormat="1" ht="15.3">
      <c r="A26" s="7"/>
      <c r="B26" s="7"/>
      <c r="C26" s="176"/>
      <c r="D26" s="177" t="s">
        <v>62</v>
      </c>
      <c r="E26" s="177" t="s">
        <v>63</v>
      </c>
      <c r="F26" s="177" t="s">
        <v>64</v>
      </c>
      <c r="G26" s="177" t="s">
        <v>65</v>
      </c>
      <c r="H26" s="177" t="s">
        <v>66</v>
      </c>
      <c r="I26" s="177" t="s">
        <v>67</v>
      </c>
      <c r="J26" s="178" t="s">
        <v>68</v>
      </c>
      <c r="K26" s="177" t="s">
        <v>69</v>
      </c>
      <c r="L26" s="177" t="s">
        <v>70</v>
      </c>
      <c r="M26" s="177" t="s">
        <v>71</v>
      </c>
      <c r="N26" s="177" t="s">
        <v>72</v>
      </c>
      <c r="O26" s="177" t="s">
        <v>73</v>
      </c>
      <c r="P26" s="177" t="s">
        <v>74</v>
      </c>
      <c r="Q26" s="84" t="s">
        <v>75</v>
      </c>
      <c r="R26" s="7"/>
      <c r="S26" s="7"/>
      <c r="T26" s="85"/>
      <c r="U26" s="85"/>
      <c r="V26" s="85"/>
      <c r="W26" s="85"/>
      <c r="X26" s="86"/>
      <c r="Y26" s="38"/>
      <c r="Z26" s="7"/>
      <c r="AA26" s="37"/>
      <c r="AB26" s="37"/>
      <c r="AC26" s="37"/>
      <c r="AD26" s="38"/>
      <c r="AE26" s="87"/>
      <c r="AF26" s="37"/>
      <c r="AG26" s="85"/>
      <c r="AH26" s="85"/>
      <c r="AI26" s="85"/>
      <c r="AJ26" s="85"/>
      <c r="AK26" s="85"/>
      <c r="AL26" s="85"/>
    </row>
    <row r="27" spans="1:84" s="39" customFormat="1" ht="15.3">
      <c r="A27" s="7"/>
      <c r="B27" s="7"/>
      <c r="C27" s="88" t="s">
        <v>76</v>
      </c>
      <c r="D27" s="89">
        <f>$X$6</f>
        <v>57070</v>
      </c>
      <c r="E27" s="89">
        <f>$X$8</f>
        <v>47418</v>
      </c>
      <c r="F27" s="89">
        <f>$X$9</f>
        <v>53612</v>
      </c>
      <c r="G27" s="89">
        <f>$X$10</f>
        <v>53268</v>
      </c>
      <c r="H27" s="89">
        <f>$X$12</f>
        <v>56558</v>
      </c>
      <c r="I27" s="89">
        <f>$X$13</f>
        <v>51181</v>
      </c>
      <c r="J27" s="89">
        <f>$X$14</f>
        <v>58194</v>
      </c>
      <c r="K27" s="89">
        <f>$X$16</f>
        <v>52987</v>
      </c>
      <c r="L27" s="89">
        <f>$X$17</f>
        <v>51975</v>
      </c>
      <c r="M27" s="89">
        <f>$X$18</f>
        <v>44500</v>
      </c>
      <c r="N27" s="89">
        <f>$X$20</f>
        <v>46666</v>
      </c>
      <c r="O27" s="89">
        <f>$X$21</f>
        <v>39968</v>
      </c>
      <c r="P27" s="91">
        <f>SUM(D27:O27)</f>
        <v>613397</v>
      </c>
      <c r="Q27" s="84">
        <f>P27+P28</f>
        <v>660550</v>
      </c>
      <c r="R27" s="7"/>
      <c r="S27" s="7"/>
      <c r="T27" s="85"/>
      <c r="U27" s="85"/>
      <c r="V27" s="85"/>
      <c r="W27" s="85"/>
      <c r="X27" s="86"/>
      <c r="Y27" s="38"/>
      <c r="Z27" s="7"/>
      <c r="AA27" s="37"/>
      <c r="AB27" s="37"/>
      <c r="AC27" s="37"/>
      <c r="AD27" s="38"/>
      <c r="AE27" s="87"/>
      <c r="AF27" s="37"/>
      <c r="AG27" s="85"/>
      <c r="AH27" s="85"/>
      <c r="AI27" s="85"/>
      <c r="AJ27" s="85"/>
      <c r="AK27" s="85"/>
      <c r="AL27" s="85"/>
    </row>
    <row r="28" spans="1:84" s="39" customFormat="1" ht="15.3">
      <c r="A28" s="7"/>
      <c r="B28" s="7"/>
      <c r="C28" s="88" t="s">
        <v>77</v>
      </c>
      <c r="D28" s="89">
        <f>$X$7</f>
        <v>15420</v>
      </c>
      <c r="E28" s="89">
        <v>0</v>
      </c>
      <c r="F28" s="89">
        <v>0</v>
      </c>
      <c r="G28" s="89">
        <f>$X$11</f>
        <v>13470</v>
      </c>
      <c r="H28" s="89">
        <v>0</v>
      </c>
      <c r="I28" s="89">
        <v>0</v>
      </c>
      <c r="J28" s="89">
        <f>$X$15</f>
        <v>11653</v>
      </c>
      <c r="K28" s="89">
        <v>0</v>
      </c>
      <c r="L28" s="89">
        <v>0</v>
      </c>
      <c r="M28" s="89">
        <f>$X$19</f>
        <v>6610</v>
      </c>
      <c r="N28" s="89">
        <v>0</v>
      </c>
      <c r="O28" s="89">
        <v>0</v>
      </c>
      <c r="P28" s="91">
        <f>SUM(D28:O28)</f>
        <v>47153</v>
      </c>
      <c r="Q28" s="84"/>
      <c r="R28" s="7"/>
      <c r="S28" s="7"/>
      <c r="T28" s="85"/>
      <c r="U28" s="85"/>
      <c r="V28" s="85"/>
      <c r="W28" s="85"/>
      <c r="X28" s="86"/>
      <c r="Y28" s="38"/>
      <c r="Z28" s="7"/>
      <c r="AA28" s="37"/>
      <c r="AB28" s="37"/>
      <c r="AC28" s="37"/>
      <c r="AD28" s="38"/>
      <c r="AE28" s="87"/>
      <c r="AF28" s="37"/>
      <c r="AG28" s="85"/>
      <c r="AH28" s="85"/>
      <c r="AI28" s="85"/>
      <c r="AJ28" s="85"/>
      <c r="AK28" s="85"/>
      <c r="AL28" s="85"/>
    </row>
    <row r="29" spans="1:84">
      <c r="C29" s="88" t="s">
        <v>78</v>
      </c>
      <c r="D29" s="89">
        <f>$AB$6</f>
        <v>53000</v>
      </c>
      <c r="E29" s="89">
        <f>$AB$8</f>
        <v>53000</v>
      </c>
      <c r="F29" s="89">
        <f>$AB$9</f>
        <v>53000</v>
      </c>
      <c r="G29" s="89">
        <f>$AB$10</f>
        <v>53000</v>
      </c>
      <c r="H29" s="89">
        <f>$AB$12</f>
        <v>53000</v>
      </c>
      <c r="I29" s="89">
        <f>$AB$13</f>
        <v>53000</v>
      </c>
      <c r="J29" s="89">
        <f>$AB$14</f>
        <v>53000</v>
      </c>
      <c r="K29" s="89">
        <f>$AB$16</f>
        <v>53000</v>
      </c>
      <c r="L29" s="89">
        <f>$AB$17</f>
        <v>55400</v>
      </c>
      <c r="M29" s="89">
        <f>$AB$18</f>
        <v>55400</v>
      </c>
      <c r="N29" s="89">
        <f>$AB$20</f>
        <v>55400</v>
      </c>
      <c r="O29" s="89">
        <f>$AB$21</f>
        <v>50600</v>
      </c>
      <c r="P29" s="91">
        <f>SUM(D29:O29)</f>
        <v>640800</v>
      </c>
      <c r="Q29" s="84"/>
      <c r="T29" s="92"/>
      <c r="U29" s="92"/>
      <c r="V29" s="92"/>
      <c r="W29" s="92"/>
      <c r="X29" s="93"/>
      <c r="AD29" s="15"/>
      <c r="AE29" s="94"/>
      <c r="AG29" s="92"/>
      <c r="AH29" s="92"/>
      <c r="AI29" s="92"/>
      <c r="AJ29" s="92"/>
      <c r="AK29" s="95"/>
      <c r="AL29" s="92"/>
    </row>
    <row r="30" spans="1:84">
      <c r="C30" s="88"/>
      <c r="D30" s="89"/>
      <c r="E30" s="141"/>
      <c r="F30" s="141"/>
      <c r="G30" s="141"/>
      <c r="H30" s="142"/>
      <c r="I30" s="141"/>
      <c r="J30" s="141"/>
      <c r="K30" s="141"/>
      <c r="L30" s="141"/>
      <c r="M30" s="90"/>
      <c r="N30" s="90"/>
      <c r="O30" s="91"/>
      <c r="P30" s="91"/>
      <c r="Q30" s="143"/>
      <c r="T30" s="92"/>
      <c r="U30" s="92"/>
      <c r="V30" s="92"/>
      <c r="W30" s="92"/>
      <c r="X30" s="93"/>
      <c r="AD30" s="15"/>
      <c r="AE30" s="94"/>
      <c r="AG30" s="92"/>
      <c r="AH30" s="92"/>
      <c r="AI30" s="92"/>
      <c r="AJ30" s="92"/>
      <c r="AK30" s="92"/>
      <c r="AL30" s="92"/>
    </row>
    <row r="32" spans="1:84">
      <c r="AK32" s="15"/>
    </row>
  </sheetData>
  <sheetProtection selectLockedCells="1" selectUnlockedCells="1"/>
  <mergeCells count="4">
    <mergeCell ref="A2:B2"/>
    <mergeCell ref="A4:I4"/>
    <mergeCell ref="J4:X4"/>
    <mergeCell ref="Y4:AH4"/>
  </mergeCells>
  <phoneticPr fontId="16" type="noConversion"/>
  <pageMargins left="0.7" right="0.7" top="0.75" bottom="0.75" header="0.3" footer="0.3"/>
  <pageSetup paperSize="9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0689-9384-4287-BA99-F4EA6E9D2043}">
  <sheetPr codeName="工作表5">
    <tabColor theme="6" tint="0.79998168889431442"/>
  </sheetPr>
  <dimension ref="A1:AP315"/>
  <sheetViews>
    <sheetView tabSelected="1" topLeftCell="A286" zoomScale="67" zoomScaleNormal="67" workbookViewId="0">
      <pane xSplit="6" topLeftCell="G1" activePane="topRight" state="frozen"/>
      <selection activeCell="A42" sqref="A42"/>
      <selection pane="topRight" activeCell="H302" sqref="H302:H303"/>
    </sheetView>
  </sheetViews>
  <sheetFormatPr defaultColWidth="9.7890625" defaultRowHeight="16.5"/>
  <cols>
    <col min="1" max="1" width="14.20703125" style="6" customWidth="1"/>
    <col min="2" max="2" width="34.3125" style="6" customWidth="1"/>
    <col min="3" max="3" width="19" style="8" customWidth="1"/>
    <col min="4" max="4" width="13.1015625" style="8" customWidth="1"/>
    <col min="5" max="5" width="12.41796875" style="9" customWidth="1"/>
    <col min="6" max="6" width="16" style="8" customWidth="1"/>
    <col min="7" max="9" width="10.7890625" style="8" customWidth="1"/>
    <col min="10" max="11" width="10.7890625" style="6" customWidth="1"/>
    <col min="12" max="12" width="10.7890625" style="7" customWidth="1"/>
    <col min="13" max="15" width="10.7890625" style="6" customWidth="1"/>
    <col min="16" max="16" width="10.7890625" style="8" customWidth="1"/>
    <col min="17" max="18" width="10.7890625" style="6" customWidth="1"/>
    <col min="19" max="19" width="10.7890625" style="15" customWidth="1"/>
    <col min="20" max="21" width="10.7890625" style="6" customWidth="1"/>
    <col min="22" max="22" width="10.7890625" style="16" customWidth="1"/>
    <col min="23" max="50" width="10.7890625" style="6" customWidth="1"/>
    <col min="51" max="16384" width="9.7890625" style="6"/>
  </cols>
  <sheetData>
    <row r="1" spans="1:42" s="1" customFormat="1" ht="13.8">
      <c r="A1" s="11"/>
      <c r="D1" s="2"/>
      <c r="E1" s="3"/>
      <c r="F1" s="2"/>
      <c r="G1" s="2"/>
      <c r="H1" s="2"/>
      <c r="I1" s="12"/>
      <c r="J1" s="3"/>
      <c r="K1" s="3"/>
      <c r="L1" s="19"/>
      <c r="M1" s="13"/>
      <c r="N1" s="13"/>
      <c r="O1" s="13"/>
      <c r="P1" s="4"/>
      <c r="Q1" s="13"/>
      <c r="R1" s="13"/>
      <c r="S1" s="10"/>
      <c r="T1" s="5"/>
      <c r="V1" s="14"/>
    </row>
    <row r="2" spans="1:42">
      <c r="A2" s="8"/>
      <c r="C2" s="6"/>
      <c r="D2" s="15"/>
      <c r="E2" s="6"/>
      <c r="F2" s="6"/>
      <c r="G2" s="16"/>
      <c r="H2" s="6"/>
      <c r="I2" s="6"/>
      <c r="L2" s="6"/>
      <c r="P2" s="6"/>
      <c r="S2" s="6"/>
      <c r="V2" s="6"/>
    </row>
    <row r="3" spans="1:42">
      <c r="A3" s="8"/>
      <c r="C3" s="6"/>
      <c r="D3" s="15"/>
      <c r="E3" s="6"/>
      <c r="F3" s="6"/>
      <c r="G3" s="16"/>
      <c r="H3" s="6"/>
      <c r="I3" s="6"/>
      <c r="L3" s="6"/>
      <c r="P3" s="6"/>
      <c r="S3" s="6"/>
      <c r="V3" s="6"/>
    </row>
    <row r="4" spans="1:42">
      <c r="A4" s="8"/>
      <c r="C4" s="6"/>
      <c r="D4" s="15"/>
      <c r="E4" s="6"/>
      <c r="F4" s="6"/>
      <c r="G4" s="16"/>
      <c r="H4" s="6"/>
      <c r="I4" s="6"/>
      <c r="L4" s="6"/>
      <c r="P4" s="6"/>
      <c r="S4" s="6"/>
      <c r="V4" s="6"/>
    </row>
    <row r="5" spans="1:42" s="17" customFormat="1" ht="15.3"/>
    <row r="6" spans="1:42" s="18" customFormat="1" ht="12.9"/>
    <row r="10" spans="1:42">
      <c r="A10" s="6" t="s">
        <v>88</v>
      </c>
    </row>
    <row r="11" spans="1:42" ht="19.5">
      <c r="A11" s="233" t="s">
        <v>87</v>
      </c>
      <c r="B11" s="216"/>
      <c r="C11" s="216"/>
      <c r="D11" s="216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5"/>
      <c r="Z11" s="235"/>
      <c r="AA11" s="235"/>
      <c r="AB11" s="235"/>
      <c r="AC11" s="235"/>
      <c r="AD11" s="235"/>
      <c r="AE11" s="235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</row>
    <row r="12" spans="1:42" ht="24.9">
      <c r="A12" s="236"/>
      <c r="B12" s="237"/>
      <c r="C12" s="238"/>
      <c r="D12" s="239"/>
      <c r="E12" s="20"/>
      <c r="F12" s="21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</row>
    <row r="13" spans="1:42">
      <c r="A13" s="23" t="s">
        <v>0</v>
      </c>
      <c r="B13" s="23" t="s">
        <v>1</v>
      </c>
      <c r="C13" s="23" t="s">
        <v>2</v>
      </c>
      <c r="D13" s="23" t="s">
        <v>3</v>
      </c>
      <c r="E13" s="23" t="s">
        <v>4</v>
      </c>
      <c r="F13" s="23" t="s">
        <v>5</v>
      </c>
      <c r="G13" s="24" t="s">
        <v>4</v>
      </c>
      <c r="H13" s="24" t="s">
        <v>4</v>
      </c>
      <c r="I13" s="24" t="s">
        <v>4</v>
      </c>
      <c r="J13" s="24" t="s">
        <v>4</v>
      </c>
      <c r="K13" s="24" t="s">
        <v>4</v>
      </c>
      <c r="L13" s="24" t="s">
        <v>4</v>
      </c>
      <c r="M13" s="24" t="s">
        <v>4</v>
      </c>
      <c r="N13" s="24" t="s">
        <v>4</v>
      </c>
      <c r="O13" s="24" t="s">
        <v>4</v>
      </c>
      <c r="P13" s="24" t="s">
        <v>4</v>
      </c>
      <c r="Q13" s="24" t="s">
        <v>4</v>
      </c>
      <c r="R13" s="24" t="s">
        <v>4</v>
      </c>
      <c r="S13" s="24" t="s">
        <v>4</v>
      </c>
      <c r="T13" s="24" t="s">
        <v>4</v>
      </c>
      <c r="U13" s="24" t="s">
        <v>4</v>
      </c>
      <c r="V13" s="24" t="s">
        <v>4</v>
      </c>
      <c r="W13" s="24" t="s">
        <v>4</v>
      </c>
      <c r="X13" s="24" t="s">
        <v>4</v>
      </c>
      <c r="Y13" s="24" t="s">
        <v>4</v>
      </c>
      <c r="Z13" s="24" t="s">
        <v>4</v>
      </c>
      <c r="AA13" s="24" t="s">
        <v>4</v>
      </c>
      <c r="AB13" s="24" t="s">
        <v>4</v>
      </c>
      <c r="AC13" s="24" t="s">
        <v>4</v>
      </c>
      <c r="AD13" s="24" t="s">
        <v>4</v>
      </c>
      <c r="AE13" s="24" t="s">
        <v>4</v>
      </c>
      <c r="AF13" s="24" t="s">
        <v>4</v>
      </c>
      <c r="AG13" s="24" t="s">
        <v>4</v>
      </c>
      <c r="AH13" s="24" t="s">
        <v>4</v>
      </c>
      <c r="AI13" s="24" t="s">
        <v>4</v>
      </c>
      <c r="AJ13" s="24" t="s">
        <v>4</v>
      </c>
      <c r="AK13" s="24" t="s">
        <v>4</v>
      </c>
      <c r="AL13" s="24" t="s">
        <v>4</v>
      </c>
      <c r="AM13" s="24" t="s">
        <v>4</v>
      </c>
      <c r="AN13" s="24" t="s">
        <v>4</v>
      </c>
      <c r="AO13" s="24" t="s">
        <v>4</v>
      </c>
      <c r="AP13" s="24" t="s">
        <v>4</v>
      </c>
    </row>
    <row r="14" spans="1:42">
      <c r="A14" s="25"/>
      <c r="B14" s="25"/>
      <c r="C14" s="25"/>
      <c r="D14" s="26"/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</row>
    <row r="15" spans="1:42">
      <c r="A15" s="25"/>
      <c r="B15" s="25"/>
      <c r="C15" s="25"/>
      <c r="D15" s="26"/>
      <c r="E15" s="27"/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</row>
    <row r="18" spans="1:42">
      <c r="A18" s="6" t="s">
        <v>116</v>
      </c>
    </row>
    <row r="19" spans="1:42" ht="19.5">
      <c r="A19" s="233" t="s">
        <v>103</v>
      </c>
      <c r="B19" s="216"/>
      <c r="C19" s="216"/>
      <c r="D19" s="216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5"/>
      <c r="Z19" s="235"/>
      <c r="AA19" s="235"/>
      <c r="AB19" s="235"/>
      <c r="AC19" s="235"/>
      <c r="AD19" s="235"/>
      <c r="AE19" s="235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</row>
    <row r="20" spans="1:42" ht="46.5">
      <c r="A20" s="236" t="s">
        <v>100</v>
      </c>
      <c r="B20" s="237"/>
      <c r="C20" s="238"/>
      <c r="D20" s="239"/>
      <c r="E20" s="20" t="s">
        <v>104</v>
      </c>
      <c r="F20" s="21">
        <v>2260</v>
      </c>
      <c r="G20" s="22" t="s">
        <v>105</v>
      </c>
      <c r="H20" s="22" t="s">
        <v>106</v>
      </c>
      <c r="I20" s="22" t="s">
        <v>107</v>
      </c>
      <c r="J20" s="22" t="s">
        <v>108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</row>
    <row r="21" spans="1:42">
      <c r="A21" s="23" t="s">
        <v>0</v>
      </c>
      <c r="B21" s="23" t="s">
        <v>1</v>
      </c>
      <c r="C21" s="23" t="s">
        <v>2</v>
      </c>
      <c r="D21" s="23" t="s">
        <v>3</v>
      </c>
      <c r="E21" s="23" t="s">
        <v>4</v>
      </c>
      <c r="F21" s="23" t="s">
        <v>5</v>
      </c>
      <c r="G21" s="24" t="s">
        <v>4</v>
      </c>
      <c r="H21" s="24" t="s">
        <v>4</v>
      </c>
      <c r="I21" s="24" t="s">
        <v>4</v>
      </c>
      <c r="J21" s="24" t="s">
        <v>4</v>
      </c>
      <c r="K21" s="24" t="s">
        <v>4</v>
      </c>
      <c r="L21" s="24" t="s">
        <v>4</v>
      </c>
      <c r="M21" s="24" t="s">
        <v>4</v>
      </c>
      <c r="N21" s="24" t="s">
        <v>4</v>
      </c>
      <c r="O21" s="24" t="s">
        <v>4</v>
      </c>
      <c r="P21" s="24" t="s">
        <v>4</v>
      </c>
      <c r="Q21" s="24" t="s">
        <v>4</v>
      </c>
      <c r="R21" s="24" t="s">
        <v>4</v>
      </c>
      <c r="S21" s="24" t="s">
        <v>4</v>
      </c>
      <c r="T21" s="24" t="s">
        <v>4</v>
      </c>
      <c r="U21" s="24" t="s">
        <v>4</v>
      </c>
      <c r="V21" s="24" t="s">
        <v>4</v>
      </c>
      <c r="W21" s="24" t="s">
        <v>4</v>
      </c>
      <c r="X21" s="24" t="s">
        <v>4</v>
      </c>
      <c r="Y21" s="24" t="s">
        <v>4</v>
      </c>
      <c r="Z21" s="24" t="s">
        <v>4</v>
      </c>
      <c r="AA21" s="24" t="s">
        <v>4</v>
      </c>
      <c r="AB21" s="24" t="s">
        <v>4</v>
      </c>
      <c r="AC21" s="24" t="s">
        <v>4</v>
      </c>
      <c r="AD21" s="24" t="s">
        <v>4</v>
      </c>
      <c r="AE21" s="24" t="s">
        <v>4</v>
      </c>
      <c r="AF21" s="24" t="s">
        <v>4</v>
      </c>
      <c r="AG21" s="24" t="s">
        <v>4</v>
      </c>
      <c r="AH21" s="24" t="s">
        <v>4</v>
      </c>
      <c r="AI21" s="24" t="s">
        <v>4</v>
      </c>
      <c r="AJ21" s="24" t="s">
        <v>4</v>
      </c>
      <c r="AK21" s="24" t="s">
        <v>4</v>
      </c>
      <c r="AL21" s="24" t="s">
        <v>4</v>
      </c>
      <c r="AM21" s="24" t="s">
        <v>4</v>
      </c>
      <c r="AN21" s="24" t="s">
        <v>4</v>
      </c>
      <c r="AO21" s="24" t="s">
        <v>4</v>
      </c>
      <c r="AP21" s="24" t="s">
        <v>4</v>
      </c>
    </row>
    <row r="22" spans="1:42">
      <c r="A22" s="25" t="s">
        <v>109</v>
      </c>
      <c r="B22" s="25" t="s">
        <v>110</v>
      </c>
      <c r="C22" s="25" t="s">
        <v>111</v>
      </c>
      <c r="D22" s="109" t="s">
        <v>123</v>
      </c>
      <c r="E22" s="27">
        <v>21</v>
      </c>
      <c r="F22" s="28">
        <v>1260</v>
      </c>
      <c r="G22" s="29">
        <v>1</v>
      </c>
      <c r="H22" s="29"/>
      <c r="I22" s="29"/>
      <c r="J22" s="29">
        <v>20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spans="1:42">
      <c r="A23" s="25" t="s">
        <v>109</v>
      </c>
      <c r="B23" s="25" t="s">
        <v>112</v>
      </c>
      <c r="C23" s="25" t="s">
        <v>113</v>
      </c>
      <c r="D23" s="26">
        <v>770</v>
      </c>
      <c r="E23" s="27">
        <v>2</v>
      </c>
      <c r="F23" s="28">
        <v>0</v>
      </c>
      <c r="G23" s="29"/>
      <c r="H23" s="29">
        <v>1</v>
      </c>
      <c r="I23" s="29">
        <v>1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spans="1:42">
      <c r="A24" s="25" t="s">
        <v>109</v>
      </c>
      <c r="B24" s="25" t="s">
        <v>114</v>
      </c>
      <c r="C24" s="25" t="s">
        <v>115</v>
      </c>
      <c r="D24" s="26">
        <v>50</v>
      </c>
      <c r="E24" s="27">
        <v>20</v>
      </c>
      <c r="F24" s="28">
        <v>1000</v>
      </c>
      <c r="G24" s="29"/>
      <c r="H24" s="29"/>
      <c r="I24" s="29"/>
      <c r="J24" s="29">
        <v>20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9" spans="1:42">
      <c r="A29" s="6" t="s">
        <v>119</v>
      </c>
    </row>
    <row r="30" spans="1:42" ht="19.5">
      <c r="A30" s="233" t="s">
        <v>117</v>
      </c>
      <c r="B30" s="216"/>
      <c r="C30" s="216"/>
      <c r="D30" s="216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5"/>
      <c r="Z30" s="235"/>
      <c r="AA30" s="235"/>
      <c r="AB30" s="235"/>
      <c r="AC30" s="235"/>
      <c r="AD30" s="235"/>
      <c r="AE30" s="235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</row>
    <row r="31" spans="1:42" ht="46.5">
      <c r="A31" s="236" t="s">
        <v>100</v>
      </c>
      <c r="B31" s="237"/>
      <c r="C31" s="238"/>
      <c r="D31" s="239"/>
      <c r="E31" s="20" t="s">
        <v>104</v>
      </c>
      <c r="F31" s="21">
        <v>2480</v>
      </c>
      <c r="G31" s="22" t="s">
        <v>106</v>
      </c>
      <c r="H31" s="22" t="s">
        <v>107</v>
      </c>
      <c r="I31" s="22" t="s">
        <v>118</v>
      </c>
      <c r="J31" s="22" t="s">
        <v>108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</row>
    <row r="32" spans="1:42">
      <c r="A32" s="23" t="s">
        <v>0</v>
      </c>
      <c r="B32" s="23" t="s">
        <v>1</v>
      </c>
      <c r="C32" s="23" t="s">
        <v>2</v>
      </c>
      <c r="D32" s="23" t="s">
        <v>3</v>
      </c>
      <c r="E32" s="23" t="s">
        <v>4</v>
      </c>
      <c r="F32" s="23" t="s">
        <v>5</v>
      </c>
      <c r="G32" s="24" t="s">
        <v>4</v>
      </c>
      <c r="H32" s="24" t="s">
        <v>4</v>
      </c>
      <c r="I32" s="24" t="s">
        <v>4</v>
      </c>
      <c r="J32" s="24" t="s">
        <v>4</v>
      </c>
      <c r="K32" s="24" t="s">
        <v>4</v>
      </c>
      <c r="L32" s="24" t="s">
        <v>4</v>
      </c>
      <c r="M32" s="24" t="s">
        <v>4</v>
      </c>
      <c r="N32" s="24" t="s">
        <v>4</v>
      </c>
      <c r="O32" s="24" t="s">
        <v>4</v>
      </c>
      <c r="P32" s="24" t="s">
        <v>4</v>
      </c>
      <c r="Q32" s="24" t="s">
        <v>4</v>
      </c>
      <c r="R32" s="24" t="s">
        <v>4</v>
      </c>
      <c r="S32" s="24" t="s">
        <v>4</v>
      </c>
      <c r="T32" s="24" t="s">
        <v>4</v>
      </c>
      <c r="U32" s="24" t="s">
        <v>4</v>
      </c>
      <c r="V32" s="24" t="s">
        <v>4</v>
      </c>
      <c r="W32" s="24" t="s">
        <v>4</v>
      </c>
      <c r="X32" s="24" t="s">
        <v>4</v>
      </c>
      <c r="Y32" s="24" t="s">
        <v>4</v>
      </c>
      <c r="Z32" s="24" t="s">
        <v>4</v>
      </c>
      <c r="AA32" s="24" t="s">
        <v>4</v>
      </c>
      <c r="AB32" s="24" t="s">
        <v>4</v>
      </c>
      <c r="AC32" s="24" t="s">
        <v>4</v>
      </c>
      <c r="AD32" s="24" t="s">
        <v>4</v>
      </c>
      <c r="AE32" s="24" t="s">
        <v>4</v>
      </c>
      <c r="AF32" s="24" t="s">
        <v>4</v>
      </c>
      <c r="AG32" s="24" t="s">
        <v>4</v>
      </c>
      <c r="AH32" s="24" t="s">
        <v>4</v>
      </c>
      <c r="AI32" s="24" t="s">
        <v>4</v>
      </c>
      <c r="AJ32" s="24" t="s">
        <v>4</v>
      </c>
      <c r="AK32" s="24" t="s">
        <v>4</v>
      </c>
      <c r="AL32" s="24" t="s">
        <v>4</v>
      </c>
      <c r="AM32" s="24" t="s">
        <v>4</v>
      </c>
      <c r="AN32" s="24" t="s">
        <v>4</v>
      </c>
      <c r="AO32" s="24" t="s">
        <v>4</v>
      </c>
      <c r="AP32" s="24" t="s">
        <v>4</v>
      </c>
    </row>
    <row r="33" spans="1:42">
      <c r="A33" s="25" t="s">
        <v>109</v>
      </c>
      <c r="B33" s="25" t="s">
        <v>110</v>
      </c>
      <c r="C33" s="25" t="s">
        <v>111</v>
      </c>
      <c r="D33" s="109" t="s">
        <v>123</v>
      </c>
      <c r="E33" s="27">
        <v>23</v>
      </c>
      <c r="F33" s="28">
        <v>1380</v>
      </c>
      <c r="G33" s="29"/>
      <c r="H33" s="29"/>
      <c r="I33" s="29">
        <v>1</v>
      </c>
      <c r="J33" s="29">
        <v>22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spans="1:42">
      <c r="A34" s="25" t="s">
        <v>109</v>
      </c>
      <c r="B34" s="25" t="s">
        <v>112</v>
      </c>
      <c r="C34" s="25" t="s">
        <v>113</v>
      </c>
      <c r="D34" s="26">
        <v>770</v>
      </c>
      <c r="E34" s="27">
        <v>2</v>
      </c>
      <c r="F34" s="28">
        <v>0</v>
      </c>
      <c r="G34" s="29">
        <v>1</v>
      </c>
      <c r="H34" s="29">
        <v>1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spans="1:42">
      <c r="A35" s="25" t="s">
        <v>109</v>
      </c>
      <c r="B35" s="25" t="s">
        <v>114</v>
      </c>
      <c r="C35" s="25" t="s">
        <v>115</v>
      </c>
      <c r="D35" s="26">
        <v>50</v>
      </c>
      <c r="E35" s="27">
        <v>22</v>
      </c>
      <c r="F35" s="28">
        <v>1100</v>
      </c>
      <c r="G35" s="29"/>
      <c r="H35" s="29"/>
      <c r="I35" s="29"/>
      <c r="J35" s="29">
        <v>22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40" spans="1:42">
      <c r="A40" s="6" t="s">
        <v>122</v>
      </c>
    </row>
    <row r="41" spans="1:42" ht="19.5">
      <c r="A41" s="233" t="s">
        <v>120</v>
      </c>
      <c r="B41" s="216"/>
      <c r="C41" s="216"/>
      <c r="D41" s="216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5"/>
      <c r="Z41" s="235"/>
      <c r="AA41" s="235"/>
      <c r="AB41" s="235"/>
      <c r="AC41" s="235"/>
      <c r="AD41" s="235"/>
      <c r="AE41" s="235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</row>
    <row r="42" spans="1:42" ht="61.8">
      <c r="A42" s="236" t="s">
        <v>100</v>
      </c>
      <c r="B42" s="237"/>
      <c r="C42" s="238"/>
      <c r="D42" s="239"/>
      <c r="E42" s="20" t="s">
        <v>104</v>
      </c>
      <c r="F42" s="21">
        <v>2430</v>
      </c>
      <c r="G42" s="22" t="s">
        <v>105</v>
      </c>
      <c r="H42" s="22" t="s">
        <v>121</v>
      </c>
      <c r="I42" s="22" t="s">
        <v>106</v>
      </c>
      <c r="J42" s="22" t="s">
        <v>107</v>
      </c>
      <c r="K42" s="22" t="s">
        <v>108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</row>
    <row r="43" spans="1:42">
      <c r="A43" s="23" t="s">
        <v>0</v>
      </c>
      <c r="B43" s="23" t="s">
        <v>1</v>
      </c>
      <c r="C43" s="23" t="s">
        <v>2</v>
      </c>
      <c r="D43" s="23" t="s">
        <v>3</v>
      </c>
      <c r="E43" s="23" t="s">
        <v>4</v>
      </c>
      <c r="F43" s="23" t="s">
        <v>5</v>
      </c>
      <c r="G43" s="24" t="s">
        <v>4</v>
      </c>
      <c r="H43" s="24" t="s">
        <v>4</v>
      </c>
      <c r="I43" s="24" t="s">
        <v>4</v>
      </c>
      <c r="J43" s="24" t="s">
        <v>4</v>
      </c>
      <c r="K43" s="24" t="s">
        <v>4</v>
      </c>
      <c r="L43" s="24" t="s">
        <v>4</v>
      </c>
      <c r="M43" s="24" t="s">
        <v>4</v>
      </c>
      <c r="N43" s="24" t="s">
        <v>4</v>
      </c>
      <c r="O43" s="24" t="s">
        <v>4</v>
      </c>
      <c r="P43" s="24" t="s">
        <v>4</v>
      </c>
      <c r="Q43" s="24" t="s">
        <v>4</v>
      </c>
      <c r="R43" s="24" t="s">
        <v>4</v>
      </c>
      <c r="S43" s="24" t="s">
        <v>4</v>
      </c>
      <c r="T43" s="24" t="s">
        <v>4</v>
      </c>
      <c r="U43" s="24" t="s">
        <v>4</v>
      </c>
      <c r="V43" s="24" t="s">
        <v>4</v>
      </c>
      <c r="W43" s="24" t="s">
        <v>4</v>
      </c>
      <c r="X43" s="24" t="s">
        <v>4</v>
      </c>
      <c r="Y43" s="24" t="s">
        <v>4</v>
      </c>
      <c r="Z43" s="24" t="s">
        <v>4</v>
      </c>
      <c r="AA43" s="24" t="s">
        <v>4</v>
      </c>
      <c r="AB43" s="24" t="s">
        <v>4</v>
      </c>
      <c r="AC43" s="24" t="s">
        <v>4</v>
      </c>
      <c r="AD43" s="24" t="s">
        <v>4</v>
      </c>
      <c r="AE43" s="24" t="s">
        <v>4</v>
      </c>
      <c r="AF43" s="24" t="s">
        <v>4</v>
      </c>
      <c r="AG43" s="24" t="s">
        <v>4</v>
      </c>
      <c r="AH43" s="24" t="s">
        <v>4</v>
      </c>
      <c r="AI43" s="24" t="s">
        <v>4</v>
      </c>
      <c r="AJ43" s="24" t="s">
        <v>4</v>
      </c>
      <c r="AK43" s="24" t="s">
        <v>4</v>
      </c>
      <c r="AL43" s="24" t="s">
        <v>4</v>
      </c>
      <c r="AM43" s="24" t="s">
        <v>4</v>
      </c>
      <c r="AN43" s="24" t="s">
        <v>4</v>
      </c>
      <c r="AO43" s="24" t="s">
        <v>4</v>
      </c>
      <c r="AP43" s="24" t="s">
        <v>4</v>
      </c>
    </row>
    <row r="44" spans="1:42">
      <c r="A44" s="25" t="s">
        <v>109</v>
      </c>
      <c r="B44" s="25" t="s">
        <v>110</v>
      </c>
      <c r="C44" s="25" t="s">
        <v>111</v>
      </c>
      <c r="D44" s="109" t="s">
        <v>123</v>
      </c>
      <c r="E44" s="27">
        <v>23</v>
      </c>
      <c r="F44" s="28">
        <v>1380</v>
      </c>
      <c r="G44" s="29">
        <v>1</v>
      </c>
      <c r="H44" s="29">
        <v>1</v>
      </c>
      <c r="I44" s="29"/>
      <c r="J44" s="29"/>
      <c r="K44" s="29">
        <v>21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</row>
    <row r="45" spans="1:42">
      <c r="A45" s="25" t="s">
        <v>109</v>
      </c>
      <c r="B45" s="25" t="s">
        <v>112</v>
      </c>
      <c r="C45" s="25" t="s">
        <v>113</v>
      </c>
      <c r="D45" s="26">
        <v>770</v>
      </c>
      <c r="E45" s="27">
        <v>2</v>
      </c>
      <c r="F45" s="28">
        <v>0</v>
      </c>
      <c r="G45" s="29"/>
      <c r="H45" s="29"/>
      <c r="I45" s="29">
        <v>1</v>
      </c>
      <c r="J45" s="29">
        <v>1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</row>
    <row r="46" spans="1:42">
      <c r="A46" s="25" t="s">
        <v>109</v>
      </c>
      <c r="B46" s="25" t="s">
        <v>114</v>
      </c>
      <c r="C46" s="25" t="s">
        <v>115</v>
      </c>
      <c r="D46" s="26">
        <v>50</v>
      </c>
      <c r="E46" s="27">
        <v>21</v>
      </c>
      <c r="F46" s="28">
        <v>1050</v>
      </c>
      <c r="G46" s="29"/>
      <c r="H46" s="29"/>
      <c r="I46" s="29"/>
      <c r="J46" s="29"/>
      <c r="K46" s="29">
        <v>21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</row>
    <row r="48" spans="1:42" ht="18.3">
      <c r="A48" s="110" t="s">
        <v>124</v>
      </c>
      <c r="B48" s="110"/>
      <c r="C48" s="111">
        <f>$F$20</f>
        <v>2260</v>
      </c>
    </row>
    <row r="49" spans="1:42" ht="18.3">
      <c r="A49" s="111">
        <f>SUM(C48:C50)</f>
        <v>7170</v>
      </c>
      <c r="B49" s="110"/>
      <c r="C49" s="111">
        <v>2480</v>
      </c>
    </row>
    <row r="50" spans="1:42" ht="18.3">
      <c r="A50" s="110"/>
      <c r="B50" s="110"/>
      <c r="C50" s="111">
        <v>2430</v>
      </c>
    </row>
    <row r="54" spans="1:42">
      <c r="A54" s="6" t="s">
        <v>134</v>
      </c>
    </row>
    <row r="55" spans="1:42" ht="19.5">
      <c r="A55" s="233" t="s">
        <v>135</v>
      </c>
      <c r="B55" s="216"/>
      <c r="C55" s="216"/>
      <c r="D55" s="216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5"/>
      <c r="Z55" s="235"/>
      <c r="AA55" s="235"/>
      <c r="AB55" s="235"/>
      <c r="AC55" s="235"/>
      <c r="AD55" s="235"/>
      <c r="AE55" s="235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</row>
    <row r="56" spans="1:42" ht="46.5">
      <c r="A56" s="236" t="s">
        <v>100</v>
      </c>
      <c r="B56" s="237"/>
      <c r="C56" s="238"/>
      <c r="D56" s="239"/>
      <c r="E56" s="20" t="s">
        <v>104</v>
      </c>
      <c r="F56" s="21">
        <f>SUM(F58:F60)</f>
        <v>2430</v>
      </c>
      <c r="G56" s="22" t="s">
        <v>106</v>
      </c>
      <c r="H56" s="22" t="s">
        <v>107</v>
      </c>
      <c r="I56" s="22" t="s">
        <v>118</v>
      </c>
      <c r="J56" s="22" t="s">
        <v>108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</row>
    <row r="57" spans="1:42">
      <c r="A57" s="23" t="s">
        <v>0</v>
      </c>
      <c r="B57" s="23" t="s">
        <v>1</v>
      </c>
      <c r="C57" s="23" t="s">
        <v>2</v>
      </c>
      <c r="D57" s="23" t="s">
        <v>3</v>
      </c>
      <c r="E57" s="23" t="s">
        <v>4</v>
      </c>
      <c r="F57" s="23" t="s">
        <v>5</v>
      </c>
      <c r="G57" s="24" t="s">
        <v>4</v>
      </c>
      <c r="H57" s="24" t="s">
        <v>4</v>
      </c>
      <c r="I57" s="24" t="s">
        <v>4</v>
      </c>
      <c r="J57" s="24" t="s">
        <v>4</v>
      </c>
      <c r="K57" s="24" t="s">
        <v>4</v>
      </c>
      <c r="L57" s="24" t="s">
        <v>4</v>
      </c>
      <c r="M57" s="24" t="s">
        <v>4</v>
      </c>
      <c r="N57" s="24" t="s">
        <v>4</v>
      </c>
      <c r="O57" s="24" t="s">
        <v>4</v>
      </c>
      <c r="P57" s="24" t="s">
        <v>4</v>
      </c>
      <c r="Q57" s="24" t="s">
        <v>4</v>
      </c>
      <c r="R57" s="24" t="s">
        <v>4</v>
      </c>
      <c r="S57" s="24" t="s">
        <v>4</v>
      </c>
      <c r="T57" s="24" t="s">
        <v>4</v>
      </c>
      <c r="U57" s="24" t="s">
        <v>4</v>
      </c>
      <c r="V57" s="24" t="s">
        <v>4</v>
      </c>
      <c r="W57" s="24" t="s">
        <v>4</v>
      </c>
      <c r="X57" s="24" t="s">
        <v>4</v>
      </c>
      <c r="Y57" s="24" t="s">
        <v>4</v>
      </c>
      <c r="Z57" s="24" t="s">
        <v>4</v>
      </c>
      <c r="AA57" s="24" t="s">
        <v>4</v>
      </c>
      <c r="AB57" s="24" t="s">
        <v>4</v>
      </c>
      <c r="AC57" s="24" t="s">
        <v>4</v>
      </c>
      <c r="AD57" s="24" t="s">
        <v>4</v>
      </c>
      <c r="AE57" s="24" t="s">
        <v>4</v>
      </c>
      <c r="AF57" s="24" t="s">
        <v>4</v>
      </c>
      <c r="AG57" s="24" t="s">
        <v>4</v>
      </c>
      <c r="AH57" s="24" t="s">
        <v>4</v>
      </c>
      <c r="AI57" s="24" t="s">
        <v>4</v>
      </c>
      <c r="AJ57" s="24" t="s">
        <v>4</v>
      </c>
      <c r="AK57" s="24" t="s">
        <v>4</v>
      </c>
      <c r="AL57" s="24" t="s">
        <v>4</v>
      </c>
      <c r="AM57" s="24" t="s">
        <v>4</v>
      </c>
      <c r="AN57" s="24" t="s">
        <v>4</v>
      </c>
      <c r="AO57" s="24" t="s">
        <v>4</v>
      </c>
      <c r="AP57" s="24" t="s">
        <v>4</v>
      </c>
    </row>
    <row r="58" spans="1:42">
      <c r="A58" s="25" t="s">
        <v>109</v>
      </c>
      <c r="B58" s="25" t="s">
        <v>110</v>
      </c>
      <c r="C58" s="25" t="s">
        <v>111</v>
      </c>
      <c r="D58" s="26">
        <v>60</v>
      </c>
      <c r="E58" s="27">
        <f>SUM(G58:AP58)</f>
        <v>23</v>
      </c>
      <c r="F58" s="28">
        <f>D58*E58</f>
        <v>1380</v>
      </c>
      <c r="G58" s="29"/>
      <c r="H58" s="29"/>
      <c r="I58" s="29">
        <v>2</v>
      </c>
      <c r="J58" s="29">
        <v>21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</row>
    <row r="59" spans="1:42">
      <c r="A59" s="25" t="s">
        <v>109</v>
      </c>
      <c r="B59" s="25" t="s">
        <v>112</v>
      </c>
      <c r="C59" s="25" t="s">
        <v>113</v>
      </c>
      <c r="D59" s="26">
        <v>0</v>
      </c>
      <c r="E59" s="27">
        <f t="shared" ref="E59:E60" si="0">SUM(G59:AP59)</f>
        <v>2</v>
      </c>
      <c r="F59" s="28">
        <f t="shared" ref="F59" si="1">D59*E59</f>
        <v>0</v>
      </c>
      <c r="G59" s="29">
        <v>1</v>
      </c>
      <c r="H59" s="29">
        <v>1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</row>
    <row r="60" spans="1:42">
      <c r="A60" s="25" t="s">
        <v>109</v>
      </c>
      <c r="B60" s="25" t="s">
        <v>114</v>
      </c>
      <c r="C60" s="25" t="s">
        <v>115</v>
      </c>
      <c r="D60" s="26">
        <v>50</v>
      </c>
      <c r="E60" s="27">
        <f t="shared" si="0"/>
        <v>21</v>
      </c>
      <c r="F60" s="28">
        <f>D60*E60</f>
        <v>1050</v>
      </c>
      <c r="G60" s="29"/>
      <c r="H60" s="29"/>
      <c r="I60" s="29"/>
      <c r="J60" s="29">
        <v>21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</row>
    <row r="65" spans="1:42">
      <c r="A65" s="6" t="s">
        <v>136</v>
      </c>
    </row>
    <row r="66" spans="1:42" ht="19.5">
      <c r="A66" s="233" t="s">
        <v>137</v>
      </c>
      <c r="B66" s="216"/>
      <c r="C66" s="216"/>
      <c r="D66" s="216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5"/>
      <c r="Z66" s="235"/>
      <c r="AA66" s="235"/>
      <c r="AB66" s="235"/>
      <c r="AC66" s="235"/>
      <c r="AD66" s="235"/>
      <c r="AE66" s="235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</row>
    <row r="67" spans="1:42" ht="61.8">
      <c r="A67" s="236" t="s">
        <v>100</v>
      </c>
      <c r="B67" s="237"/>
      <c r="C67" s="238"/>
      <c r="D67" s="239"/>
      <c r="E67" s="20" t="s">
        <v>104</v>
      </c>
      <c r="F67" s="21">
        <f>SUM(F69:F72)</f>
        <v>2260</v>
      </c>
      <c r="G67" s="22" t="s">
        <v>138</v>
      </c>
      <c r="H67" s="22" t="s">
        <v>121</v>
      </c>
      <c r="I67" s="22" t="s">
        <v>139</v>
      </c>
      <c r="J67" s="22" t="s">
        <v>140</v>
      </c>
      <c r="K67" s="22" t="s">
        <v>141</v>
      </c>
      <c r="L67" s="22" t="s">
        <v>130</v>
      </c>
      <c r="M67" s="22" t="s">
        <v>107</v>
      </c>
      <c r="N67" s="22" t="s">
        <v>108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</row>
    <row r="68" spans="1:42">
      <c r="A68" s="23" t="s">
        <v>0</v>
      </c>
      <c r="B68" s="23" t="s">
        <v>1</v>
      </c>
      <c r="C68" s="23" t="s">
        <v>2</v>
      </c>
      <c r="D68" s="23" t="s">
        <v>3</v>
      </c>
      <c r="E68" s="23" t="s">
        <v>4</v>
      </c>
      <c r="F68" s="23" t="s">
        <v>5</v>
      </c>
      <c r="G68" s="24" t="s">
        <v>4</v>
      </c>
      <c r="H68" s="24" t="s">
        <v>4</v>
      </c>
      <c r="I68" s="24" t="s">
        <v>4</v>
      </c>
      <c r="J68" s="24" t="s">
        <v>4</v>
      </c>
      <c r="K68" s="24" t="s">
        <v>4</v>
      </c>
      <c r="L68" s="24" t="s">
        <v>4</v>
      </c>
      <c r="M68" s="24" t="s">
        <v>4</v>
      </c>
      <c r="N68" s="24" t="s">
        <v>4</v>
      </c>
      <c r="O68" s="24" t="s">
        <v>4</v>
      </c>
      <c r="P68" s="24" t="s">
        <v>4</v>
      </c>
      <c r="Q68" s="24" t="s">
        <v>4</v>
      </c>
      <c r="R68" s="24" t="s">
        <v>4</v>
      </c>
      <c r="S68" s="24" t="s">
        <v>4</v>
      </c>
      <c r="T68" s="24" t="s">
        <v>4</v>
      </c>
      <c r="U68" s="24" t="s">
        <v>4</v>
      </c>
      <c r="V68" s="24" t="s">
        <v>4</v>
      </c>
      <c r="W68" s="24" t="s">
        <v>4</v>
      </c>
      <c r="X68" s="24" t="s">
        <v>4</v>
      </c>
      <c r="Y68" s="24" t="s">
        <v>4</v>
      </c>
      <c r="Z68" s="24" t="s">
        <v>4</v>
      </c>
      <c r="AA68" s="24" t="s">
        <v>4</v>
      </c>
      <c r="AB68" s="24" t="s">
        <v>4</v>
      </c>
      <c r="AC68" s="24" t="s">
        <v>4</v>
      </c>
      <c r="AD68" s="24" t="s">
        <v>4</v>
      </c>
      <c r="AE68" s="24" t="s">
        <v>4</v>
      </c>
      <c r="AF68" s="24" t="s">
        <v>4</v>
      </c>
      <c r="AG68" s="24" t="s">
        <v>4</v>
      </c>
      <c r="AH68" s="24" t="s">
        <v>4</v>
      </c>
      <c r="AI68" s="24" t="s">
        <v>4</v>
      </c>
      <c r="AJ68" s="24" t="s">
        <v>4</v>
      </c>
      <c r="AK68" s="24" t="s">
        <v>4</v>
      </c>
      <c r="AL68" s="24" t="s">
        <v>4</v>
      </c>
      <c r="AM68" s="24" t="s">
        <v>4</v>
      </c>
      <c r="AN68" s="24" t="s">
        <v>4</v>
      </c>
      <c r="AO68" s="24" t="s">
        <v>4</v>
      </c>
      <c r="AP68" s="24" t="s">
        <v>4</v>
      </c>
    </row>
    <row r="69" spans="1:42">
      <c r="A69" s="25" t="s">
        <v>109</v>
      </c>
      <c r="B69" s="25" t="s">
        <v>110</v>
      </c>
      <c r="C69" s="25" t="s">
        <v>111</v>
      </c>
      <c r="D69" s="26">
        <v>60</v>
      </c>
      <c r="E69" s="27">
        <f>SUM(G69:AP69)</f>
        <v>21</v>
      </c>
      <c r="F69" s="28">
        <f>D69*E69</f>
        <v>1260</v>
      </c>
      <c r="G69" s="29"/>
      <c r="H69" s="29">
        <v>3</v>
      </c>
      <c r="I69" s="29"/>
      <c r="J69" s="29"/>
      <c r="K69" s="29"/>
      <c r="L69" s="29">
        <v>2</v>
      </c>
      <c r="M69" s="29"/>
      <c r="N69" s="29">
        <v>16</v>
      </c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</row>
    <row r="70" spans="1:42">
      <c r="A70" s="25" t="s">
        <v>109</v>
      </c>
      <c r="B70" s="25" t="s">
        <v>131</v>
      </c>
      <c r="C70" s="25" t="s">
        <v>132</v>
      </c>
      <c r="D70" s="26">
        <v>200</v>
      </c>
      <c r="E70" s="27">
        <f t="shared" ref="E70:E72" si="2">SUM(G70:AP70)</f>
        <v>1</v>
      </c>
      <c r="F70" s="28">
        <f t="shared" ref="F70:F72" si="3">D70*E70</f>
        <v>200</v>
      </c>
      <c r="G70" s="29"/>
      <c r="H70" s="29"/>
      <c r="I70" s="29"/>
      <c r="J70" s="29"/>
      <c r="K70" s="29"/>
      <c r="L70" s="29">
        <v>1</v>
      </c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</row>
    <row r="71" spans="1:42">
      <c r="A71" s="25" t="s">
        <v>109</v>
      </c>
      <c r="B71" s="25" t="s">
        <v>112</v>
      </c>
      <c r="C71" s="25" t="s">
        <v>113</v>
      </c>
      <c r="D71" s="26">
        <v>0</v>
      </c>
      <c r="E71" s="27">
        <f t="shared" si="2"/>
        <v>11</v>
      </c>
      <c r="F71" s="28">
        <f t="shared" si="3"/>
        <v>0</v>
      </c>
      <c r="G71" s="29">
        <v>2</v>
      </c>
      <c r="H71" s="29">
        <v>3</v>
      </c>
      <c r="I71" s="29">
        <v>1</v>
      </c>
      <c r="J71" s="29">
        <v>1</v>
      </c>
      <c r="K71" s="29">
        <v>1</v>
      </c>
      <c r="L71" s="29">
        <v>1</v>
      </c>
      <c r="M71" s="29">
        <v>2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</row>
    <row r="72" spans="1:42">
      <c r="A72" s="25" t="s">
        <v>109</v>
      </c>
      <c r="B72" s="25" t="s">
        <v>114</v>
      </c>
      <c r="C72" s="25" t="s">
        <v>115</v>
      </c>
      <c r="D72" s="26">
        <v>50</v>
      </c>
      <c r="E72" s="27">
        <f t="shared" si="2"/>
        <v>16</v>
      </c>
      <c r="F72" s="28">
        <f t="shared" si="3"/>
        <v>800</v>
      </c>
      <c r="G72" s="29"/>
      <c r="H72" s="29"/>
      <c r="I72" s="29"/>
      <c r="J72" s="29"/>
      <c r="K72" s="29"/>
      <c r="L72" s="29"/>
      <c r="M72" s="29"/>
      <c r="N72" s="29">
        <v>16</v>
      </c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</row>
    <row r="77" spans="1:42">
      <c r="A77" s="6" t="s">
        <v>142</v>
      </c>
    </row>
    <row r="78" spans="1:42" ht="19.5">
      <c r="A78" s="233" t="s">
        <v>143</v>
      </c>
      <c r="B78" s="216"/>
      <c r="C78" s="216"/>
      <c r="D78" s="216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5"/>
      <c r="Z78" s="235"/>
      <c r="AA78" s="235"/>
      <c r="AB78" s="235"/>
      <c r="AC78" s="235"/>
      <c r="AD78" s="235"/>
      <c r="AE78" s="235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</row>
    <row r="79" spans="1:42" ht="61.8">
      <c r="A79" s="236" t="s">
        <v>100</v>
      </c>
      <c r="B79" s="237"/>
      <c r="C79" s="238"/>
      <c r="D79" s="239"/>
      <c r="E79" s="20" t="s">
        <v>104</v>
      </c>
      <c r="F79" s="21">
        <f>SUM(F81:F84)</f>
        <v>2930</v>
      </c>
      <c r="G79" s="22" t="s">
        <v>121</v>
      </c>
      <c r="H79" s="22" t="s">
        <v>130</v>
      </c>
      <c r="I79" s="22" t="s">
        <v>106</v>
      </c>
      <c r="J79" s="22" t="s">
        <v>107</v>
      </c>
      <c r="K79" s="22" t="s">
        <v>118</v>
      </c>
      <c r="L79" s="22" t="s">
        <v>108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</row>
    <row r="80" spans="1:42">
      <c r="A80" s="23" t="s">
        <v>0</v>
      </c>
      <c r="B80" s="23" t="s">
        <v>1</v>
      </c>
      <c r="C80" s="23" t="s">
        <v>2</v>
      </c>
      <c r="D80" s="23" t="s">
        <v>3</v>
      </c>
      <c r="E80" s="23" t="s">
        <v>4</v>
      </c>
      <c r="F80" s="23" t="s">
        <v>5</v>
      </c>
      <c r="G80" s="24" t="s">
        <v>4</v>
      </c>
      <c r="H80" s="24" t="s">
        <v>4</v>
      </c>
      <c r="I80" s="24" t="s">
        <v>4</v>
      </c>
      <c r="J80" s="24" t="s">
        <v>4</v>
      </c>
      <c r="K80" s="24" t="s">
        <v>4</v>
      </c>
      <c r="L80" s="24" t="s">
        <v>4</v>
      </c>
      <c r="M80" s="24" t="s">
        <v>4</v>
      </c>
      <c r="N80" s="24" t="s">
        <v>4</v>
      </c>
      <c r="O80" s="24" t="s">
        <v>4</v>
      </c>
      <c r="P80" s="24" t="s">
        <v>4</v>
      </c>
      <c r="Q80" s="24" t="s">
        <v>4</v>
      </c>
      <c r="R80" s="24" t="s">
        <v>4</v>
      </c>
      <c r="S80" s="24" t="s">
        <v>4</v>
      </c>
      <c r="T80" s="24" t="s">
        <v>4</v>
      </c>
      <c r="U80" s="24" t="s">
        <v>4</v>
      </c>
      <c r="V80" s="24" t="s">
        <v>4</v>
      </c>
      <c r="W80" s="24" t="s">
        <v>4</v>
      </c>
      <c r="X80" s="24" t="s">
        <v>4</v>
      </c>
      <c r="Y80" s="24" t="s">
        <v>4</v>
      </c>
      <c r="Z80" s="24" t="s">
        <v>4</v>
      </c>
      <c r="AA80" s="24" t="s">
        <v>4</v>
      </c>
      <c r="AB80" s="24" t="s">
        <v>4</v>
      </c>
      <c r="AC80" s="24" t="s">
        <v>4</v>
      </c>
      <c r="AD80" s="24" t="s">
        <v>4</v>
      </c>
      <c r="AE80" s="24" t="s">
        <v>4</v>
      </c>
      <c r="AF80" s="24" t="s">
        <v>4</v>
      </c>
      <c r="AG80" s="24" t="s">
        <v>4</v>
      </c>
      <c r="AH80" s="24" t="s">
        <v>4</v>
      </c>
      <c r="AI80" s="24" t="s">
        <v>4</v>
      </c>
      <c r="AJ80" s="24" t="s">
        <v>4</v>
      </c>
      <c r="AK80" s="24" t="s">
        <v>4</v>
      </c>
      <c r="AL80" s="24" t="s">
        <v>4</v>
      </c>
      <c r="AM80" s="24" t="s">
        <v>4</v>
      </c>
      <c r="AN80" s="24" t="s">
        <v>4</v>
      </c>
      <c r="AO80" s="24" t="s">
        <v>4</v>
      </c>
      <c r="AP80" s="24" t="s">
        <v>4</v>
      </c>
    </row>
    <row r="81" spans="1:42">
      <c r="A81" s="25" t="s">
        <v>109</v>
      </c>
      <c r="B81" s="25" t="s">
        <v>110</v>
      </c>
      <c r="C81" s="25" t="s">
        <v>111</v>
      </c>
      <c r="D81" s="26">
        <v>60</v>
      </c>
      <c r="E81" s="27">
        <f>SUM(G81:AP81)</f>
        <v>28</v>
      </c>
      <c r="F81" s="28">
        <f>D81*E81</f>
        <v>1680</v>
      </c>
      <c r="G81" s="29">
        <v>2</v>
      </c>
      <c r="H81" s="29">
        <v>4</v>
      </c>
      <c r="I81" s="29"/>
      <c r="J81" s="29"/>
      <c r="K81" s="29">
        <v>1</v>
      </c>
      <c r="L81" s="29">
        <v>21</v>
      </c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</row>
    <row r="82" spans="1:42">
      <c r="A82" s="25" t="s">
        <v>109</v>
      </c>
      <c r="B82" s="25" t="s">
        <v>131</v>
      </c>
      <c r="C82" s="25" t="s">
        <v>132</v>
      </c>
      <c r="D82" s="26">
        <v>200</v>
      </c>
      <c r="E82" s="27">
        <f t="shared" ref="E82:E84" si="4">SUM(G82:AP82)</f>
        <v>1</v>
      </c>
      <c r="F82" s="28">
        <f>D82*E82</f>
        <v>200</v>
      </c>
      <c r="G82" s="29"/>
      <c r="H82" s="29">
        <v>1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</row>
    <row r="83" spans="1:42">
      <c r="A83" s="25" t="s">
        <v>109</v>
      </c>
      <c r="B83" s="25" t="s">
        <v>112</v>
      </c>
      <c r="C83" s="25" t="s">
        <v>113</v>
      </c>
      <c r="D83" s="26">
        <v>0</v>
      </c>
      <c r="E83" s="27">
        <f t="shared" si="4"/>
        <v>2</v>
      </c>
      <c r="F83" s="28">
        <f>D83*E83</f>
        <v>0</v>
      </c>
      <c r="G83" s="29"/>
      <c r="H83" s="29"/>
      <c r="I83" s="29">
        <v>1</v>
      </c>
      <c r="J83" s="29">
        <v>1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</row>
    <row r="84" spans="1:42">
      <c r="A84" s="25" t="s">
        <v>109</v>
      </c>
      <c r="B84" s="25" t="s">
        <v>114</v>
      </c>
      <c r="C84" s="25" t="s">
        <v>115</v>
      </c>
      <c r="D84" s="26">
        <v>50</v>
      </c>
      <c r="E84" s="27">
        <f t="shared" si="4"/>
        <v>21</v>
      </c>
      <c r="F84" s="28">
        <f>D84*E84</f>
        <v>1050</v>
      </c>
      <c r="G84" s="29"/>
      <c r="H84" s="29"/>
      <c r="I84" s="29"/>
      <c r="J84" s="29"/>
      <c r="K84" s="29"/>
      <c r="L84" s="29">
        <v>21</v>
      </c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</row>
    <row r="86" spans="1:42" ht="18.3">
      <c r="A86" s="110" t="s">
        <v>144</v>
      </c>
      <c r="B86" s="110"/>
      <c r="C86" s="111">
        <v>2430</v>
      </c>
    </row>
    <row r="87" spans="1:42" ht="18.3">
      <c r="A87" s="111">
        <f>SUM(C86:C88)</f>
        <v>7620</v>
      </c>
      <c r="B87" s="110"/>
      <c r="C87" s="111">
        <v>2260</v>
      </c>
    </row>
    <row r="88" spans="1:42" ht="18.3">
      <c r="A88" s="110"/>
      <c r="B88" s="110"/>
      <c r="C88" s="111">
        <v>2930</v>
      </c>
    </row>
    <row r="92" spans="1:42">
      <c r="A92" s="6" t="s">
        <v>146</v>
      </c>
    </row>
    <row r="93" spans="1:42" ht="19.5">
      <c r="A93" s="233" t="s">
        <v>145</v>
      </c>
      <c r="B93" s="216"/>
      <c r="C93" s="216"/>
      <c r="D93" s="216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5"/>
      <c r="Z93" s="235"/>
      <c r="AA93" s="235"/>
      <c r="AB93" s="235"/>
      <c r="AC93" s="235"/>
      <c r="AD93" s="235"/>
      <c r="AE93" s="235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</row>
    <row r="94" spans="1:42" ht="46.5">
      <c r="A94" s="236" t="s">
        <v>100</v>
      </c>
      <c r="B94" s="237"/>
      <c r="C94" s="238"/>
      <c r="D94" s="239"/>
      <c r="E94" s="20" t="s">
        <v>104</v>
      </c>
      <c r="F94" s="21">
        <v>2640</v>
      </c>
      <c r="G94" s="22" t="s">
        <v>138</v>
      </c>
      <c r="H94" s="22" t="s">
        <v>139</v>
      </c>
      <c r="I94" s="22" t="s">
        <v>130</v>
      </c>
      <c r="J94" s="22" t="s">
        <v>106</v>
      </c>
      <c r="K94" s="22" t="s">
        <v>107</v>
      </c>
      <c r="L94" s="22" t="s">
        <v>108</v>
      </c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</row>
    <row r="95" spans="1:42">
      <c r="A95" s="23" t="s">
        <v>0</v>
      </c>
      <c r="B95" s="23" t="s">
        <v>1</v>
      </c>
      <c r="C95" s="23" t="s">
        <v>2</v>
      </c>
      <c r="D95" s="23" t="s">
        <v>3</v>
      </c>
      <c r="E95" s="23" t="s">
        <v>4</v>
      </c>
      <c r="F95" s="23" t="s">
        <v>5</v>
      </c>
      <c r="G95" s="24" t="s">
        <v>4</v>
      </c>
      <c r="H95" s="24" t="s">
        <v>4</v>
      </c>
      <c r="I95" s="24" t="s">
        <v>4</v>
      </c>
      <c r="J95" s="24" t="s">
        <v>4</v>
      </c>
      <c r="K95" s="24" t="s">
        <v>4</v>
      </c>
      <c r="L95" s="24" t="s">
        <v>4</v>
      </c>
      <c r="M95" s="24" t="s">
        <v>4</v>
      </c>
      <c r="N95" s="24" t="s">
        <v>4</v>
      </c>
      <c r="O95" s="24" t="s">
        <v>4</v>
      </c>
      <c r="P95" s="24" t="s">
        <v>4</v>
      </c>
      <c r="Q95" s="24" t="s">
        <v>4</v>
      </c>
      <c r="R95" s="24" t="s">
        <v>4</v>
      </c>
      <c r="S95" s="24" t="s">
        <v>4</v>
      </c>
      <c r="T95" s="24" t="s">
        <v>4</v>
      </c>
      <c r="U95" s="24" t="s">
        <v>4</v>
      </c>
      <c r="V95" s="24" t="s">
        <v>4</v>
      </c>
      <c r="W95" s="24" t="s">
        <v>4</v>
      </c>
      <c r="X95" s="24" t="s">
        <v>4</v>
      </c>
      <c r="Y95" s="24" t="s">
        <v>4</v>
      </c>
      <c r="Z95" s="24" t="s">
        <v>4</v>
      </c>
      <c r="AA95" s="24" t="s">
        <v>4</v>
      </c>
      <c r="AB95" s="24" t="s">
        <v>4</v>
      </c>
      <c r="AC95" s="24" t="s">
        <v>4</v>
      </c>
      <c r="AD95" s="24" t="s">
        <v>4</v>
      </c>
      <c r="AE95" s="24" t="s">
        <v>4</v>
      </c>
      <c r="AF95" s="24" t="s">
        <v>4</v>
      </c>
      <c r="AG95" s="24" t="s">
        <v>4</v>
      </c>
      <c r="AH95" s="24" t="s">
        <v>4</v>
      </c>
      <c r="AI95" s="24" t="s">
        <v>4</v>
      </c>
      <c r="AJ95" s="24" t="s">
        <v>4</v>
      </c>
      <c r="AK95" s="24" t="s">
        <v>4</v>
      </c>
      <c r="AL95" s="24" t="s">
        <v>4</v>
      </c>
      <c r="AM95" s="24" t="s">
        <v>4</v>
      </c>
      <c r="AN95" s="24" t="s">
        <v>4</v>
      </c>
      <c r="AO95" s="24" t="s">
        <v>4</v>
      </c>
      <c r="AP95" s="24" t="s">
        <v>4</v>
      </c>
    </row>
    <row r="96" spans="1:42">
      <c r="A96" s="25" t="s">
        <v>109</v>
      </c>
      <c r="B96" s="25" t="s">
        <v>110</v>
      </c>
      <c r="C96" s="25" t="s">
        <v>111</v>
      </c>
      <c r="D96" s="26">
        <v>60</v>
      </c>
      <c r="E96" s="27">
        <v>24</v>
      </c>
      <c r="F96" s="28">
        <v>1440</v>
      </c>
      <c r="G96" s="29"/>
      <c r="H96" s="29"/>
      <c r="I96" s="29">
        <v>4</v>
      </c>
      <c r="J96" s="29"/>
      <c r="K96" s="29"/>
      <c r="L96" s="29">
        <v>20</v>
      </c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</row>
    <row r="97" spans="1:42">
      <c r="A97" s="25" t="s">
        <v>109</v>
      </c>
      <c r="B97" s="25" t="s">
        <v>131</v>
      </c>
      <c r="C97" s="25" t="s">
        <v>132</v>
      </c>
      <c r="D97" s="26">
        <v>200</v>
      </c>
      <c r="E97" s="27">
        <v>1</v>
      </c>
      <c r="F97" s="28">
        <v>200</v>
      </c>
      <c r="G97" s="29"/>
      <c r="H97" s="29"/>
      <c r="I97" s="29">
        <v>1</v>
      </c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</row>
    <row r="98" spans="1:42">
      <c r="A98" s="25" t="s">
        <v>109</v>
      </c>
      <c r="B98" s="25" t="s">
        <v>112</v>
      </c>
      <c r="C98" s="25" t="s">
        <v>113</v>
      </c>
      <c r="D98" s="26">
        <v>0</v>
      </c>
      <c r="E98" s="27">
        <v>4</v>
      </c>
      <c r="F98" s="28">
        <v>0</v>
      </c>
      <c r="G98" s="29">
        <v>1</v>
      </c>
      <c r="H98" s="29">
        <v>1</v>
      </c>
      <c r="I98" s="29"/>
      <c r="J98" s="29">
        <v>1</v>
      </c>
      <c r="K98" s="29">
        <v>1</v>
      </c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</row>
    <row r="99" spans="1:42">
      <c r="A99" s="25" t="s">
        <v>109</v>
      </c>
      <c r="B99" s="25" t="s">
        <v>114</v>
      </c>
      <c r="C99" s="25" t="s">
        <v>115</v>
      </c>
      <c r="D99" s="26">
        <v>50</v>
      </c>
      <c r="E99" s="27">
        <v>20</v>
      </c>
      <c r="F99" s="28">
        <v>1000</v>
      </c>
      <c r="G99" s="29"/>
      <c r="H99" s="29"/>
      <c r="I99" s="29"/>
      <c r="J99" s="29"/>
      <c r="K99" s="29"/>
      <c r="L99" s="29">
        <v>20</v>
      </c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</row>
    <row r="104" spans="1:42">
      <c r="A104" s="6" t="s">
        <v>150</v>
      </c>
    </row>
    <row r="105" spans="1:42" ht="19.5">
      <c r="A105" s="233" t="s">
        <v>147</v>
      </c>
      <c r="B105" s="216"/>
      <c r="C105" s="216"/>
      <c r="D105" s="216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5"/>
      <c r="Z105" s="235"/>
      <c r="AA105" s="235"/>
      <c r="AB105" s="235"/>
      <c r="AC105" s="235"/>
      <c r="AD105" s="235"/>
      <c r="AE105" s="235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</row>
    <row r="106" spans="1:42" ht="61.8">
      <c r="A106" s="236" t="s">
        <v>100</v>
      </c>
      <c r="B106" s="237"/>
      <c r="C106" s="238"/>
      <c r="D106" s="239"/>
      <c r="E106" s="20" t="s">
        <v>104</v>
      </c>
      <c r="F106" s="21">
        <v>5620</v>
      </c>
      <c r="G106" s="22" t="s">
        <v>148</v>
      </c>
      <c r="H106" s="22" t="s">
        <v>121</v>
      </c>
      <c r="I106" s="22" t="s">
        <v>130</v>
      </c>
      <c r="J106" s="22" t="s">
        <v>106</v>
      </c>
      <c r="K106" s="22" t="s">
        <v>108</v>
      </c>
      <c r="L106" s="22" t="s">
        <v>149</v>
      </c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</row>
    <row r="107" spans="1:42">
      <c r="A107" s="23" t="s">
        <v>0</v>
      </c>
      <c r="B107" s="23" t="s">
        <v>1</v>
      </c>
      <c r="C107" s="23" t="s">
        <v>2</v>
      </c>
      <c r="D107" s="23" t="s">
        <v>3</v>
      </c>
      <c r="E107" s="23" t="s">
        <v>4</v>
      </c>
      <c r="F107" s="23" t="s">
        <v>5</v>
      </c>
      <c r="G107" s="24" t="s">
        <v>4</v>
      </c>
      <c r="H107" s="24" t="s">
        <v>4</v>
      </c>
      <c r="I107" s="24" t="s">
        <v>4</v>
      </c>
      <c r="J107" s="24" t="s">
        <v>4</v>
      </c>
      <c r="K107" s="24" t="s">
        <v>4</v>
      </c>
      <c r="L107" s="24" t="s">
        <v>4</v>
      </c>
      <c r="M107" s="24" t="s">
        <v>4</v>
      </c>
      <c r="N107" s="24" t="s">
        <v>4</v>
      </c>
      <c r="O107" s="24" t="s">
        <v>4</v>
      </c>
      <c r="P107" s="24" t="s">
        <v>4</v>
      </c>
      <c r="Q107" s="24" t="s">
        <v>4</v>
      </c>
      <c r="R107" s="24" t="s">
        <v>4</v>
      </c>
      <c r="S107" s="24" t="s">
        <v>4</v>
      </c>
      <c r="T107" s="24" t="s">
        <v>4</v>
      </c>
      <c r="U107" s="24" t="s">
        <v>4</v>
      </c>
      <c r="V107" s="24" t="s">
        <v>4</v>
      </c>
      <c r="W107" s="24" t="s">
        <v>4</v>
      </c>
      <c r="X107" s="24" t="s">
        <v>4</v>
      </c>
      <c r="Y107" s="24" t="s">
        <v>4</v>
      </c>
      <c r="Z107" s="24" t="s">
        <v>4</v>
      </c>
      <c r="AA107" s="24" t="s">
        <v>4</v>
      </c>
      <c r="AB107" s="24" t="s">
        <v>4</v>
      </c>
      <c r="AC107" s="24" t="s">
        <v>4</v>
      </c>
      <c r="AD107" s="24" t="s">
        <v>4</v>
      </c>
      <c r="AE107" s="24" t="s">
        <v>4</v>
      </c>
      <c r="AF107" s="24" t="s">
        <v>4</v>
      </c>
      <c r="AG107" s="24" t="s">
        <v>4</v>
      </c>
      <c r="AH107" s="24" t="s">
        <v>4</v>
      </c>
      <c r="AI107" s="24" t="s">
        <v>4</v>
      </c>
      <c r="AJ107" s="24" t="s">
        <v>4</v>
      </c>
      <c r="AK107" s="24" t="s">
        <v>4</v>
      </c>
      <c r="AL107" s="24" t="s">
        <v>4</v>
      </c>
      <c r="AM107" s="24" t="s">
        <v>4</v>
      </c>
      <c r="AN107" s="24" t="s">
        <v>4</v>
      </c>
      <c r="AO107" s="24" t="s">
        <v>4</v>
      </c>
      <c r="AP107" s="24" t="s">
        <v>4</v>
      </c>
    </row>
    <row r="108" spans="1:42">
      <c r="A108" s="25" t="s">
        <v>109</v>
      </c>
      <c r="B108" s="25" t="s">
        <v>110</v>
      </c>
      <c r="C108" s="25" t="s">
        <v>111</v>
      </c>
      <c r="D108" s="26">
        <v>60</v>
      </c>
      <c r="E108" s="27">
        <v>52</v>
      </c>
      <c r="F108" s="28">
        <v>3120</v>
      </c>
      <c r="G108" s="29"/>
      <c r="H108" s="29">
        <v>1</v>
      </c>
      <c r="I108" s="29">
        <v>5</v>
      </c>
      <c r="J108" s="29"/>
      <c r="K108" s="29">
        <v>23</v>
      </c>
      <c r="L108" s="29">
        <v>23</v>
      </c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</row>
    <row r="109" spans="1:42">
      <c r="A109" s="25" t="s">
        <v>109</v>
      </c>
      <c r="B109" s="25" t="s">
        <v>131</v>
      </c>
      <c r="C109" s="25" t="s">
        <v>132</v>
      </c>
      <c r="D109" s="26">
        <v>200</v>
      </c>
      <c r="E109" s="27">
        <v>1</v>
      </c>
      <c r="F109" s="28">
        <v>200</v>
      </c>
      <c r="G109" s="29"/>
      <c r="H109" s="29"/>
      <c r="I109" s="29">
        <v>1</v>
      </c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</row>
    <row r="110" spans="1:42">
      <c r="A110" s="25" t="s">
        <v>109</v>
      </c>
      <c r="B110" s="25" t="s">
        <v>112</v>
      </c>
      <c r="C110" s="25" t="s">
        <v>113</v>
      </c>
      <c r="D110" s="26">
        <v>0</v>
      </c>
      <c r="E110" s="27">
        <v>5</v>
      </c>
      <c r="F110" s="28">
        <v>0</v>
      </c>
      <c r="G110" s="29">
        <v>1</v>
      </c>
      <c r="H110" s="29"/>
      <c r="I110" s="29">
        <v>1</v>
      </c>
      <c r="J110" s="29">
        <v>1</v>
      </c>
      <c r="K110" s="29">
        <v>1</v>
      </c>
      <c r="L110" s="29">
        <v>1</v>
      </c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</row>
    <row r="111" spans="1:42">
      <c r="A111" s="25" t="s">
        <v>109</v>
      </c>
      <c r="B111" s="25" t="s">
        <v>114</v>
      </c>
      <c r="C111" s="25" t="s">
        <v>115</v>
      </c>
      <c r="D111" s="26">
        <v>50</v>
      </c>
      <c r="E111" s="27">
        <v>46</v>
      </c>
      <c r="F111" s="28">
        <v>2300</v>
      </c>
      <c r="G111" s="29"/>
      <c r="H111" s="29"/>
      <c r="I111" s="29"/>
      <c r="J111" s="29"/>
      <c r="K111" s="29">
        <v>23</v>
      </c>
      <c r="L111" s="29">
        <v>23</v>
      </c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</row>
    <row r="112" spans="1:42" ht="19.5">
      <c r="A112" s="233"/>
      <c r="B112" s="216"/>
      <c r="C112" s="216"/>
      <c r="D112" s="216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5"/>
      <c r="Z112" s="235"/>
      <c r="AA112" s="235"/>
      <c r="AB112" s="235"/>
      <c r="AC112" s="235"/>
      <c r="AD112" s="235"/>
      <c r="AE112" s="235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</row>
    <row r="116" spans="1:42">
      <c r="A116" s="6" t="s">
        <v>152</v>
      </c>
    </row>
    <row r="117" spans="1:42" ht="19.5">
      <c r="A117" s="233" t="s">
        <v>151</v>
      </c>
      <c r="B117" s="216"/>
      <c r="C117" s="216"/>
      <c r="D117" s="216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5"/>
      <c r="Z117" s="235"/>
      <c r="AA117" s="235"/>
      <c r="AB117" s="235"/>
      <c r="AC117" s="235"/>
      <c r="AD117" s="235"/>
      <c r="AE117" s="235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</row>
    <row r="118" spans="1:42" ht="61.8">
      <c r="A118" s="236" t="s">
        <v>100</v>
      </c>
      <c r="B118" s="237"/>
      <c r="C118" s="238"/>
      <c r="D118" s="239"/>
      <c r="E118" s="20" t="s">
        <v>104</v>
      </c>
      <c r="F118" s="21">
        <v>4790</v>
      </c>
      <c r="G118" s="22" t="s">
        <v>121</v>
      </c>
      <c r="H118" s="22" t="s">
        <v>130</v>
      </c>
      <c r="I118" s="22" t="s">
        <v>106</v>
      </c>
      <c r="J118" s="22" t="s">
        <v>107</v>
      </c>
      <c r="K118" s="22" t="s">
        <v>108</v>
      </c>
      <c r="L118" s="22" t="s">
        <v>149</v>
      </c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</row>
    <row r="119" spans="1:42">
      <c r="A119" s="23" t="s">
        <v>0</v>
      </c>
      <c r="B119" s="23" t="s">
        <v>1</v>
      </c>
      <c r="C119" s="23" t="s">
        <v>2</v>
      </c>
      <c r="D119" s="23" t="s">
        <v>3</v>
      </c>
      <c r="E119" s="23" t="s">
        <v>4</v>
      </c>
      <c r="F119" s="23" t="s">
        <v>5</v>
      </c>
      <c r="G119" s="24" t="s">
        <v>4</v>
      </c>
      <c r="H119" s="24" t="s">
        <v>4</v>
      </c>
      <c r="I119" s="24" t="s">
        <v>4</v>
      </c>
      <c r="J119" s="24" t="s">
        <v>4</v>
      </c>
      <c r="K119" s="24" t="s">
        <v>4</v>
      </c>
      <c r="L119" s="24" t="s">
        <v>4</v>
      </c>
      <c r="M119" s="24" t="s">
        <v>4</v>
      </c>
      <c r="N119" s="24" t="s">
        <v>4</v>
      </c>
      <c r="O119" s="24" t="s">
        <v>4</v>
      </c>
      <c r="P119" s="24" t="s">
        <v>4</v>
      </c>
      <c r="Q119" s="24" t="s">
        <v>4</v>
      </c>
      <c r="R119" s="24" t="s">
        <v>4</v>
      </c>
      <c r="S119" s="24" t="s">
        <v>4</v>
      </c>
      <c r="T119" s="24" t="s">
        <v>4</v>
      </c>
      <c r="U119" s="24" t="s">
        <v>4</v>
      </c>
      <c r="V119" s="24" t="s">
        <v>4</v>
      </c>
      <c r="W119" s="24" t="s">
        <v>4</v>
      </c>
      <c r="X119" s="24" t="s">
        <v>4</v>
      </c>
      <c r="Y119" s="24" t="s">
        <v>4</v>
      </c>
      <c r="Z119" s="24" t="s">
        <v>4</v>
      </c>
      <c r="AA119" s="24" t="s">
        <v>4</v>
      </c>
      <c r="AB119" s="24" t="s">
        <v>4</v>
      </c>
      <c r="AC119" s="24" t="s">
        <v>4</v>
      </c>
      <c r="AD119" s="24" t="s">
        <v>4</v>
      </c>
      <c r="AE119" s="24" t="s">
        <v>4</v>
      </c>
      <c r="AF119" s="24" t="s">
        <v>4</v>
      </c>
      <c r="AG119" s="24" t="s">
        <v>4</v>
      </c>
      <c r="AH119" s="24" t="s">
        <v>4</v>
      </c>
      <c r="AI119" s="24" t="s">
        <v>4</v>
      </c>
      <c r="AJ119" s="24" t="s">
        <v>4</v>
      </c>
      <c r="AK119" s="24" t="s">
        <v>4</v>
      </c>
      <c r="AL119" s="24" t="s">
        <v>4</v>
      </c>
      <c r="AM119" s="24" t="s">
        <v>4</v>
      </c>
      <c r="AN119" s="24" t="s">
        <v>4</v>
      </c>
      <c r="AO119" s="24" t="s">
        <v>4</v>
      </c>
      <c r="AP119" s="24" t="s">
        <v>4</v>
      </c>
    </row>
    <row r="120" spans="1:42">
      <c r="A120" s="25" t="s">
        <v>109</v>
      </c>
      <c r="B120" s="25" t="s">
        <v>110</v>
      </c>
      <c r="C120" s="25" t="s">
        <v>111</v>
      </c>
      <c r="D120" s="26">
        <v>60</v>
      </c>
      <c r="E120" s="27">
        <v>44</v>
      </c>
      <c r="F120" s="28">
        <v>2640</v>
      </c>
      <c r="G120" s="29">
        <v>1</v>
      </c>
      <c r="H120" s="29">
        <v>4</v>
      </c>
      <c r="I120" s="29"/>
      <c r="J120" s="29"/>
      <c r="K120" s="29">
        <v>19</v>
      </c>
      <c r="L120" s="29">
        <v>20</v>
      </c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</row>
    <row r="121" spans="1:42">
      <c r="A121" s="25" t="s">
        <v>109</v>
      </c>
      <c r="B121" s="25" t="s">
        <v>131</v>
      </c>
      <c r="C121" s="25" t="s">
        <v>132</v>
      </c>
      <c r="D121" s="26">
        <v>200</v>
      </c>
      <c r="E121" s="27">
        <v>1</v>
      </c>
      <c r="F121" s="28">
        <v>200</v>
      </c>
      <c r="G121" s="29"/>
      <c r="H121" s="29">
        <v>1</v>
      </c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</row>
    <row r="122" spans="1:42">
      <c r="A122" s="25" t="s">
        <v>109</v>
      </c>
      <c r="B122" s="25" t="s">
        <v>112</v>
      </c>
      <c r="C122" s="25" t="s">
        <v>113</v>
      </c>
      <c r="D122" s="26">
        <v>0</v>
      </c>
      <c r="E122" s="27">
        <v>3</v>
      </c>
      <c r="F122" s="28">
        <v>0</v>
      </c>
      <c r="G122" s="29"/>
      <c r="H122" s="29"/>
      <c r="I122" s="29">
        <v>1</v>
      </c>
      <c r="J122" s="29">
        <v>1</v>
      </c>
      <c r="K122" s="29"/>
      <c r="L122" s="29">
        <v>1</v>
      </c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</row>
    <row r="123" spans="1:42">
      <c r="A123" s="25" t="s">
        <v>109</v>
      </c>
      <c r="B123" s="25" t="s">
        <v>114</v>
      </c>
      <c r="C123" s="25" t="s">
        <v>115</v>
      </c>
      <c r="D123" s="26">
        <v>50</v>
      </c>
      <c r="E123" s="27">
        <v>39</v>
      </c>
      <c r="F123" s="28">
        <v>1950</v>
      </c>
      <c r="G123" s="29"/>
      <c r="H123" s="29"/>
      <c r="I123" s="29"/>
      <c r="J123" s="29"/>
      <c r="K123" s="29">
        <v>19</v>
      </c>
      <c r="L123" s="29">
        <v>20</v>
      </c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</row>
    <row r="124" spans="1:42" ht="19.5">
      <c r="A124" s="233"/>
      <c r="B124" s="216"/>
      <c r="C124" s="216"/>
      <c r="D124" s="216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5"/>
      <c r="Z124" s="235"/>
      <c r="AA124" s="235"/>
      <c r="AB124" s="235"/>
      <c r="AC124" s="235"/>
      <c r="AD124" s="235"/>
      <c r="AE124" s="235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</row>
    <row r="125" spans="1:42" ht="18.3">
      <c r="A125" s="110" t="s">
        <v>153</v>
      </c>
      <c r="B125" s="110"/>
      <c r="C125" s="111">
        <v>2640</v>
      </c>
    </row>
    <row r="126" spans="1:42" ht="18.3">
      <c r="A126" s="111">
        <f>SUM(C125:C127)</f>
        <v>13050</v>
      </c>
      <c r="B126" s="110"/>
      <c r="C126" s="111">
        <v>5620</v>
      </c>
    </row>
    <row r="127" spans="1:42" ht="18.3">
      <c r="A127" s="110"/>
      <c r="B127" s="110"/>
      <c r="C127" s="111">
        <v>4790</v>
      </c>
    </row>
    <row r="131" spans="1:42">
      <c r="A131" s="6" t="s">
        <v>158</v>
      </c>
    </row>
    <row r="132" spans="1:42" ht="19.5">
      <c r="A132" s="233" t="s">
        <v>157</v>
      </c>
      <c r="B132" s="216"/>
      <c r="C132" s="216"/>
      <c r="D132" s="216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5"/>
      <c r="Z132" s="235"/>
      <c r="AA132" s="235"/>
      <c r="AB132" s="235"/>
      <c r="AC132" s="235"/>
      <c r="AD132" s="235"/>
      <c r="AE132" s="235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</row>
    <row r="133" spans="1:42" ht="61.8">
      <c r="A133" s="236" t="s">
        <v>100</v>
      </c>
      <c r="B133" s="237"/>
      <c r="C133" s="238"/>
      <c r="D133" s="239"/>
      <c r="E133" s="20" t="s">
        <v>104</v>
      </c>
      <c r="F133" s="21">
        <v>5120</v>
      </c>
      <c r="G133" s="22" t="s">
        <v>121</v>
      </c>
      <c r="H133" s="22" t="s">
        <v>130</v>
      </c>
      <c r="I133" s="22" t="s">
        <v>106</v>
      </c>
      <c r="J133" s="22" t="s">
        <v>108</v>
      </c>
      <c r="K133" s="22" t="s">
        <v>149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</row>
    <row r="134" spans="1:42">
      <c r="A134" s="23" t="s">
        <v>0</v>
      </c>
      <c r="B134" s="23" t="s">
        <v>1</v>
      </c>
      <c r="C134" s="23" t="s">
        <v>2</v>
      </c>
      <c r="D134" s="23" t="s">
        <v>3</v>
      </c>
      <c r="E134" s="23" t="s">
        <v>4</v>
      </c>
      <c r="F134" s="23" t="s">
        <v>5</v>
      </c>
      <c r="G134" s="24" t="s">
        <v>4</v>
      </c>
      <c r="H134" s="24" t="s">
        <v>4</v>
      </c>
      <c r="I134" s="24" t="s">
        <v>4</v>
      </c>
      <c r="J134" s="24" t="s">
        <v>4</v>
      </c>
      <c r="K134" s="24" t="s">
        <v>4</v>
      </c>
      <c r="L134" s="24" t="s">
        <v>4</v>
      </c>
      <c r="M134" s="24" t="s">
        <v>4</v>
      </c>
      <c r="N134" s="24" t="s">
        <v>4</v>
      </c>
      <c r="O134" s="24" t="s">
        <v>4</v>
      </c>
      <c r="P134" s="24" t="s">
        <v>4</v>
      </c>
      <c r="Q134" s="24" t="s">
        <v>4</v>
      </c>
      <c r="R134" s="24" t="s">
        <v>4</v>
      </c>
      <c r="S134" s="24" t="s">
        <v>4</v>
      </c>
      <c r="T134" s="24" t="s">
        <v>4</v>
      </c>
      <c r="U134" s="24" t="s">
        <v>4</v>
      </c>
      <c r="V134" s="24" t="s">
        <v>4</v>
      </c>
      <c r="W134" s="24" t="s">
        <v>4</v>
      </c>
      <c r="X134" s="24" t="s">
        <v>4</v>
      </c>
      <c r="Y134" s="24" t="s">
        <v>4</v>
      </c>
      <c r="Z134" s="24" t="s">
        <v>4</v>
      </c>
      <c r="AA134" s="24" t="s">
        <v>4</v>
      </c>
      <c r="AB134" s="24" t="s">
        <v>4</v>
      </c>
      <c r="AC134" s="24" t="s">
        <v>4</v>
      </c>
      <c r="AD134" s="24" t="s">
        <v>4</v>
      </c>
      <c r="AE134" s="24" t="s">
        <v>4</v>
      </c>
      <c r="AF134" s="24" t="s">
        <v>4</v>
      </c>
      <c r="AG134" s="24" t="s">
        <v>4</v>
      </c>
      <c r="AH134" s="24" t="s">
        <v>4</v>
      </c>
      <c r="AI134" s="24" t="s">
        <v>4</v>
      </c>
      <c r="AJ134" s="24" t="s">
        <v>4</v>
      </c>
      <c r="AK134" s="24" t="s">
        <v>4</v>
      </c>
      <c r="AL134" s="24" t="s">
        <v>4</v>
      </c>
      <c r="AM134" s="24" t="s">
        <v>4</v>
      </c>
      <c r="AN134" s="24" t="s">
        <v>4</v>
      </c>
      <c r="AO134" s="24" t="s">
        <v>4</v>
      </c>
      <c r="AP134" s="24" t="s">
        <v>4</v>
      </c>
    </row>
    <row r="135" spans="1:42">
      <c r="A135" s="25" t="s">
        <v>109</v>
      </c>
      <c r="B135" s="25" t="s">
        <v>110</v>
      </c>
      <c r="C135" s="25" t="s">
        <v>111</v>
      </c>
      <c r="D135" s="26">
        <v>60</v>
      </c>
      <c r="E135" s="27">
        <v>47</v>
      </c>
      <c r="F135" s="28">
        <v>2820</v>
      </c>
      <c r="G135" s="29">
        <v>1</v>
      </c>
      <c r="H135" s="29">
        <v>4</v>
      </c>
      <c r="I135" s="29"/>
      <c r="J135" s="29">
        <v>21</v>
      </c>
      <c r="K135" s="29">
        <v>21</v>
      </c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</row>
    <row r="136" spans="1:42">
      <c r="A136" s="25" t="s">
        <v>109</v>
      </c>
      <c r="B136" s="25" t="s">
        <v>131</v>
      </c>
      <c r="C136" s="25" t="s">
        <v>132</v>
      </c>
      <c r="D136" s="26">
        <v>200</v>
      </c>
      <c r="E136" s="27">
        <v>1</v>
      </c>
      <c r="F136" s="28">
        <v>200</v>
      </c>
      <c r="G136" s="29"/>
      <c r="H136" s="29">
        <v>1</v>
      </c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</row>
    <row r="137" spans="1:42">
      <c r="A137" s="25" t="s">
        <v>109</v>
      </c>
      <c r="B137" s="25" t="s">
        <v>112</v>
      </c>
      <c r="C137" s="25" t="s">
        <v>113</v>
      </c>
      <c r="D137" s="26">
        <v>0</v>
      </c>
      <c r="E137" s="27">
        <v>1</v>
      </c>
      <c r="F137" s="28">
        <v>0</v>
      </c>
      <c r="G137" s="29"/>
      <c r="H137" s="29"/>
      <c r="I137" s="29">
        <v>1</v>
      </c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</row>
    <row r="138" spans="1:42">
      <c r="A138" s="25" t="s">
        <v>109</v>
      </c>
      <c r="B138" s="25" t="s">
        <v>114</v>
      </c>
      <c r="C138" s="25" t="s">
        <v>115</v>
      </c>
      <c r="D138" s="26">
        <v>50</v>
      </c>
      <c r="E138" s="27">
        <v>42</v>
      </c>
      <c r="F138" s="28">
        <v>2100</v>
      </c>
      <c r="G138" s="29"/>
      <c r="H138" s="29"/>
      <c r="I138" s="29"/>
      <c r="J138" s="29">
        <v>21</v>
      </c>
      <c r="K138" s="29">
        <v>21</v>
      </c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</row>
    <row r="139" spans="1:42" ht="19.5">
      <c r="A139" s="233"/>
      <c r="B139" s="216"/>
      <c r="C139" s="216"/>
      <c r="D139" s="216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5"/>
      <c r="Z139" s="235"/>
      <c r="AA139" s="235"/>
      <c r="AB139" s="235"/>
      <c r="AC139" s="235"/>
      <c r="AD139" s="235"/>
      <c r="AE139" s="235"/>
      <c r="AF139" s="98"/>
      <c r="AG139" s="98"/>
      <c r="AH139" s="98"/>
      <c r="AI139" s="98"/>
      <c r="AJ139" s="98"/>
      <c r="AK139" s="98"/>
      <c r="AL139" s="98"/>
      <c r="AM139" s="98"/>
      <c r="AN139" s="98"/>
      <c r="AO139" s="98"/>
      <c r="AP139" s="98"/>
    </row>
    <row r="143" spans="1:42">
      <c r="A143" s="6" t="s">
        <v>158</v>
      </c>
    </row>
    <row r="144" spans="1:42" ht="19.5">
      <c r="A144" s="233" t="s">
        <v>159</v>
      </c>
      <c r="B144" s="216"/>
      <c r="C144" s="216"/>
      <c r="D144" s="216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5"/>
      <c r="Z144" s="235"/>
      <c r="AA144" s="235"/>
      <c r="AB144" s="235"/>
      <c r="AC144" s="235"/>
      <c r="AD144" s="235"/>
      <c r="AE144" s="235"/>
      <c r="AF144" s="98"/>
      <c r="AG144" s="98"/>
      <c r="AH144" s="98"/>
      <c r="AI144" s="98"/>
      <c r="AJ144" s="98"/>
      <c r="AK144" s="98"/>
      <c r="AL144" s="98"/>
      <c r="AM144" s="98"/>
      <c r="AN144" s="98"/>
      <c r="AO144" s="98"/>
      <c r="AP144" s="98"/>
    </row>
    <row r="145" spans="1:42" ht="61.8">
      <c r="A145" s="236" t="s">
        <v>100</v>
      </c>
      <c r="B145" s="237"/>
      <c r="C145" s="238"/>
      <c r="D145" s="239"/>
      <c r="E145" s="20" t="s">
        <v>104</v>
      </c>
      <c r="F145" s="21">
        <v>5340</v>
      </c>
      <c r="G145" s="22" t="s">
        <v>139</v>
      </c>
      <c r="H145" s="22" t="s">
        <v>140</v>
      </c>
      <c r="I145" s="22" t="s">
        <v>130</v>
      </c>
      <c r="J145" s="22" t="s">
        <v>106</v>
      </c>
      <c r="K145" s="22" t="s">
        <v>108</v>
      </c>
      <c r="L145" s="22" t="s">
        <v>149</v>
      </c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</row>
    <row r="146" spans="1:42">
      <c r="A146" s="23" t="s">
        <v>0</v>
      </c>
      <c r="B146" s="23" t="s">
        <v>1</v>
      </c>
      <c r="C146" s="23" t="s">
        <v>2</v>
      </c>
      <c r="D146" s="23" t="s">
        <v>3</v>
      </c>
      <c r="E146" s="23" t="s">
        <v>4</v>
      </c>
      <c r="F146" s="23" t="s">
        <v>5</v>
      </c>
      <c r="G146" s="24" t="s">
        <v>4</v>
      </c>
      <c r="H146" s="24" t="s">
        <v>4</v>
      </c>
      <c r="I146" s="24" t="s">
        <v>4</v>
      </c>
      <c r="J146" s="24" t="s">
        <v>4</v>
      </c>
      <c r="K146" s="24" t="s">
        <v>4</v>
      </c>
      <c r="L146" s="24" t="s">
        <v>4</v>
      </c>
      <c r="M146" s="24" t="s">
        <v>4</v>
      </c>
      <c r="N146" s="24" t="s">
        <v>4</v>
      </c>
      <c r="O146" s="24" t="s">
        <v>4</v>
      </c>
      <c r="P146" s="24" t="s">
        <v>4</v>
      </c>
      <c r="Q146" s="24" t="s">
        <v>4</v>
      </c>
      <c r="R146" s="24" t="s">
        <v>4</v>
      </c>
      <c r="S146" s="24" t="s">
        <v>4</v>
      </c>
      <c r="T146" s="24" t="s">
        <v>4</v>
      </c>
      <c r="U146" s="24" t="s">
        <v>4</v>
      </c>
      <c r="V146" s="24" t="s">
        <v>4</v>
      </c>
      <c r="W146" s="24" t="s">
        <v>4</v>
      </c>
      <c r="X146" s="24" t="s">
        <v>4</v>
      </c>
      <c r="Y146" s="24" t="s">
        <v>4</v>
      </c>
      <c r="Z146" s="24" t="s">
        <v>4</v>
      </c>
      <c r="AA146" s="24" t="s">
        <v>4</v>
      </c>
      <c r="AB146" s="24" t="s">
        <v>4</v>
      </c>
      <c r="AC146" s="24" t="s">
        <v>4</v>
      </c>
      <c r="AD146" s="24" t="s">
        <v>4</v>
      </c>
      <c r="AE146" s="24" t="s">
        <v>4</v>
      </c>
      <c r="AF146" s="24" t="s">
        <v>4</v>
      </c>
      <c r="AG146" s="24" t="s">
        <v>4</v>
      </c>
      <c r="AH146" s="24" t="s">
        <v>4</v>
      </c>
      <c r="AI146" s="24" t="s">
        <v>4</v>
      </c>
      <c r="AJ146" s="24" t="s">
        <v>4</v>
      </c>
      <c r="AK146" s="24" t="s">
        <v>4</v>
      </c>
      <c r="AL146" s="24" t="s">
        <v>4</v>
      </c>
      <c r="AM146" s="24" t="s">
        <v>4</v>
      </c>
      <c r="AN146" s="24" t="s">
        <v>4</v>
      </c>
      <c r="AO146" s="24" t="s">
        <v>4</v>
      </c>
      <c r="AP146" s="24" t="s">
        <v>4</v>
      </c>
    </row>
    <row r="147" spans="1:42">
      <c r="A147" s="25" t="s">
        <v>109</v>
      </c>
      <c r="B147" s="25" t="s">
        <v>110</v>
      </c>
      <c r="C147" s="25" t="s">
        <v>111</v>
      </c>
      <c r="D147" s="26">
        <v>60</v>
      </c>
      <c r="E147" s="27">
        <v>49</v>
      </c>
      <c r="F147" s="28">
        <v>2940</v>
      </c>
      <c r="G147" s="29"/>
      <c r="H147" s="29">
        <v>1</v>
      </c>
      <c r="I147" s="29">
        <v>4</v>
      </c>
      <c r="J147" s="29"/>
      <c r="K147" s="29">
        <v>22</v>
      </c>
      <c r="L147" s="29">
        <v>22</v>
      </c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</row>
    <row r="148" spans="1:42">
      <c r="A148" s="25" t="s">
        <v>109</v>
      </c>
      <c r="B148" s="25" t="s">
        <v>131</v>
      </c>
      <c r="C148" s="25" t="s">
        <v>132</v>
      </c>
      <c r="D148" s="26">
        <v>200</v>
      </c>
      <c r="E148" s="27">
        <v>1</v>
      </c>
      <c r="F148" s="28">
        <v>200</v>
      </c>
      <c r="G148" s="29"/>
      <c r="H148" s="29"/>
      <c r="I148" s="29">
        <v>1</v>
      </c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</row>
    <row r="149" spans="1:42">
      <c r="A149" s="25" t="s">
        <v>109</v>
      </c>
      <c r="B149" s="25" t="s">
        <v>112</v>
      </c>
      <c r="C149" s="25" t="s">
        <v>113</v>
      </c>
      <c r="D149" s="26">
        <v>0</v>
      </c>
      <c r="E149" s="27">
        <v>2</v>
      </c>
      <c r="F149" s="28">
        <v>0</v>
      </c>
      <c r="G149" s="29">
        <v>1</v>
      </c>
      <c r="H149" s="29"/>
      <c r="I149" s="29"/>
      <c r="J149" s="29">
        <v>1</v>
      </c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</row>
    <row r="150" spans="1:42">
      <c r="A150" s="25" t="s">
        <v>109</v>
      </c>
      <c r="B150" s="25" t="s">
        <v>114</v>
      </c>
      <c r="C150" s="25" t="s">
        <v>115</v>
      </c>
      <c r="D150" s="26">
        <v>50</v>
      </c>
      <c r="E150" s="27">
        <v>44</v>
      </c>
      <c r="F150" s="28">
        <v>2200</v>
      </c>
      <c r="G150" s="29"/>
      <c r="H150" s="29"/>
      <c r="I150" s="29"/>
      <c r="J150" s="29"/>
      <c r="K150" s="29">
        <v>22</v>
      </c>
      <c r="L150" s="29">
        <v>22</v>
      </c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</row>
    <row r="151" spans="1:42" ht="19.5">
      <c r="A151" s="233"/>
      <c r="B151" s="216"/>
      <c r="C151" s="216"/>
      <c r="D151" s="216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5"/>
      <c r="Z151" s="235"/>
      <c r="AA151" s="235"/>
      <c r="AB151" s="235"/>
      <c r="AC151" s="235"/>
      <c r="AD151" s="235"/>
      <c r="AE151" s="235"/>
      <c r="AF151" s="98"/>
      <c r="AG151" s="98"/>
      <c r="AH151" s="98"/>
      <c r="AI151" s="98"/>
      <c r="AJ151" s="98"/>
      <c r="AK151" s="98"/>
      <c r="AL151" s="98"/>
      <c r="AM151" s="98"/>
      <c r="AN151" s="98"/>
      <c r="AO151" s="98"/>
      <c r="AP151" s="98"/>
    </row>
    <row r="155" spans="1:42">
      <c r="A155" s="6" t="s">
        <v>158</v>
      </c>
    </row>
    <row r="156" spans="1:42" ht="19.5">
      <c r="A156" s="233" t="s">
        <v>160</v>
      </c>
      <c r="B156" s="216"/>
      <c r="C156" s="216"/>
      <c r="D156" s="216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5"/>
      <c r="Z156" s="235"/>
      <c r="AA156" s="235"/>
      <c r="AB156" s="235"/>
      <c r="AC156" s="235"/>
      <c r="AD156" s="235"/>
      <c r="AE156" s="235"/>
      <c r="AF156" s="98"/>
      <c r="AG156" s="98"/>
      <c r="AH156" s="98"/>
      <c r="AI156" s="98"/>
      <c r="AJ156" s="98"/>
      <c r="AK156" s="98"/>
      <c r="AL156" s="98"/>
      <c r="AM156" s="98"/>
      <c r="AN156" s="98"/>
      <c r="AO156" s="98"/>
      <c r="AP156" s="98"/>
    </row>
    <row r="157" spans="1:42" ht="61.8">
      <c r="A157" s="236" t="s">
        <v>100</v>
      </c>
      <c r="B157" s="237"/>
      <c r="C157" s="238"/>
      <c r="D157" s="239"/>
      <c r="E157" s="20" t="s">
        <v>104</v>
      </c>
      <c r="F157" s="21">
        <v>4900</v>
      </c>
      <c r="G157" s="22" t="s">
        <v>121</v>
      </c>
      <c r="H157" s="22" t="s">
        <v>130</v>
      </c>
      <c r="I157" s="22" t="s">
        <v>107</v>
      </c>
      <c r="J157" s="22" t="s">
        <v>108</v>
      </c>
      <c r="K157" s="22" t="s">
        <v>149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</row>
    <row r="158" spans="1:42">
      <c r="A158" s="23" t="s">
        <v>0</v>
      </c>
      <c r="B158" s="23" t="s">
        <v>1</v>
      </c>
      <c r="C158" s="23" t="s">
        <v>2</v>
      </c>
      <c r="D158" s="23" t="s">
        <v>3</v>
      </c>
      <c r="E158" s="23" t="s">
        <v>4</v>
      </c>
      <c r="F158" s="23" t="s">
        <v>5</v>
      </c>
      <c r="G158" s="24" t="s">
        <v>4</v>
      </c>
      <c r="H158" s="24" t="s">
        <v>4</v>
      </c>
      <c r="I158" s="24" t="s">
        <v>4</v>
      </c>
      <c r="J158" s="24" t="s">
        <v>4</v>
      </c>
      <c r="K158" s="24" t="s">
        <v>4</v>
      </c>
      <c r="L158" s="24" t="s">
        <v>4</v>
      </c>
      <c r="M158" s="24" t="s">
        <v>4</v>
      </c>
      <c r="N158" s="24" t="s">
        <v>4</v>
      </c>
      <c r="O158" s="24" t="s">
        <v>4</v>
      </c>
      <c r="P158" s="24" t="s">
        <v>4</v>
      </c>
      <c r="Q158" s="24" t="s">
        <v>4</v>
      </c>
      <c r="R158" s="24" t="s">
        <v>4</v>
      </c>
      <c r="S158" s="24" t="s">
        <v>4</v>
      </c>
      <c r="T158" s="24" t="s">
        <v>4</v>
      </c>
      <c r="U158" s="24" t="s">
        <v>4</v>
      </c>
      <c r="V158" s="24" t="s">
        <v>4</v>
      </c>
      <c r="W158" s="24" t="s">
        <v>4</v>
      </c>
      <c r="X158" s="24" t="s">
        <v>4</v>
      </c>
      <c r="Y158" s="24" t="s">
        <v>4</v>
      </c>
      <c r="Z158" s="24" t="s">
        <v>4</v>
      </c>
      <c r="AA158" s="24" t="s">
        <v>4</v>
      </c>
      <c r="AB158" s="24" t="s">
        <v>4</v>
      </c>
      <c r="AC158" s="24" t="s">
        <v>4</v>
      </c>
      <c r="AD158" s="24" t="s">
        <v>4</v>
      </c>
      <c r="AE158" s="24" t="s">
        <v>4</v>
      </c>
      <c r="AF158" s="24" t="s">
        <v>4</v>
      </c>
      <c r="AG158" s="24" t="s">
        <v>4</v>
      </c>
      <c r="AH158" s="24" t="s">
        <v>4</v>
      </c>
      <c r="AI158" s="24" t="s">
        <v>4</v>
      </c>
      <c r="AJ158" s="24" t="s">
        <v>4</v>
      </c>
      <c r="AK158" s="24" t="s">
        <v>4</v>
      </c>
      <c r="AL158" s="24" t="s">
        <v>4</v>
      </c>
      <c r="AM158" s="24" t="s">
        <v>4</v>
      </c>
      <c r="AN158" s="24" t="s">
        <v>4</v>
      </c>
      <c r="AO158" s="24" t="s">
        <v>4</v>
      </c>
      <c r="AP158" s="24" t="s">
        <v>4</v>
      </c>
    </row>
    <row r="159" spans="1:42">
      <c r="A159" s="25" t="s">
        <v>109</v>
      </c>
      <c r="B159" s="25" t="s">
        <v>110</v>
      </c>
      <c r="C159" s="25" t="s">
        <v>111</v>
      </c>
      <c r="D159" s="26">
        <v>60</v>
      </c>
      <c r="E159" s="27">
        <v>45</v>
      </c>
      <c r="F159" s="28">
        <v>2700</v>
      </c>
      <c r="G159" s="29">
        <v>1</v>
      </c>
      <c r="H159" s="29">
        <v>4</v>
      </c>
      <c r="I159" s="29"/>
      <c r="J159" s="29">
        <v>20</v>
      </c>
      <c r="K159" s="29">
        <v>20</v>
      </c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</row>
    <row r="160" spans="1:42">
      <c r="A160" s="25" t="s">
        <v>109</v>
      </c>
      <c r="B160" s="25" t="s">
        <v>131</v>
      </c>
      <c r="C160" s="25" t="s">
        <v>132</v>
      </c>
      <c r="D160" s="26">
        <v>200</v>
      </c>
      <c r="E160" s="27">
        <v>1</v>
      </c>
      <c r="F160" s="28">
        <v>200</v>
      </c>
      <c r="G160" s="29"/>
      <c r="H160" s="29">
        <v>1</v>
      </c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</row>
    <row r="161" spans="1:42">
      <c r="A161" s="25" t="s">
        <v>109</v>
      </c>
      <c r="B161" s="25" t="s">
        <v>112</v>
      </c>
      <c r="C161" s="25" t="s">
        <v>113</v>
      </c>
      <c r="D161" s="26">
        <v>0</v>
      </c>
      <c r="E161" s="27">
        <v>2</v>
      </c>
      <c r="F161" s="28">
        <v>0</v>
      </c>
      <c r="G161" s="29"/>
      <c r="H161" s="29"/>
      <c r="I161" s="29">
        <v>1</v>
      </c>
      <c r="J161" s="29"/>
      <c r="K161" s="29">
        <v>1</v>
      </c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</row>
    <row r="162" spans="1:42">
      <c r="A162" s="25" t="s">
        <v>109</v>
      </c>
      <c r="B162" s="25" t="s">
        <v>114</v>
      </c>
      <c r="C162" s="25" t="s">
        <v>115</v>
      </c>
      <c r="D162" s="26">
        <v>50</v>
      </c>
      <c r="E162" s="27">
        <v>40</v>
      </c>
      <c r="F162" s="28">
        <v>2000</v>
      </c>
      <c r="G162" s="29"/>
      <c r="H162" s="29"/>
      <c r="I162" s="29"/>
      <c r="J162" s="29">
        <v>20</v>
      </c>
      <c r="K162" s="29">
        <v>20</v>
      </c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</row>
    <row r="163" spans="1:42">
      <c r="A163" s="25"/>
      <c r="B163" s="25"/>
      <c r="C163" s="25"/>
      <c r="D163" s="26"/>
      <c r="E163" s="27"/>
      <c r="F163" s="28"/>
      <c r="G163" s="29"/>
      <c r="H163" s="29"/>
      <c r="I163" s="29"/>
      <c r="J163" s="29"/>
      <c r="K163" s="29">
        <v>1</v>
      </c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</row>
    <row r="164" spans="1:42" ht="19.8" customHeight="1"/>
    <row r="165" spans="1:42" ht="18.3">
      <c r="A165" s="110" t="s">
        <v>161</v>
      </c>
      <c r="B165" s="110"/>
      <c r="C165" s="111">
        <v>5120</v>
      </c>
    </row>
    <row r="166" spans="1:42" ht="18.3">
      <c r="A166" s="126">
        <f>SUM(C165:C167)</f>
        <v>15360</v>
      </c>
      <c r="B166" s="110"/>
      <c r="C166" s="111">
        <v>5340</v>
      </c>
    </row>
    <row r="167" spans="1:42" ht="18.3">
      <c r="A167" s="110"/>
      <c r="B167" s="110"/>
      <c r="C167" s="111">
        <v>4900</v>
      </c>
    </row>
    <row r="171" spans="1:42">
      <c r="A171" s="6" t="s">
        <v>169</v>
      </c>
    </row>
    <row r="172" spans="1:42" ht="19.5">
      <c r="A172" s="233" t="s">
        <v>168</v>
      </c>
      <c r="B172" s="216"/>
      <c r="C172" s="216"/>
      <c r="D172" s="216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5"/>
      <c r="Y172" s="235"/>
      <c r="Z172" s="235"/>
      <c r="AA172" s="235"/>
      <c r="AB172" s="235"/>
      <c r="AC172" s="235"/>
      <c r="AD172" s="235"/>
      <c r="AE172" s="129"/>
      <c r="AF172" s="129"/>
      <c r="AG172" s="129"/>
      <c r="AH172" s="129"/>
      <c r="AI172" s="129"/>
      <c r="AJ172" s="129"/>
      <c r="AK172" s="129"/>
      <c r="AL172" s="129"/>
      <c r="AM172" s="129"/>
      <c r="AN172" s="129"/>
      <c r="AO172" s="129"/>
      <c r="AP172" s="127"/>
    </row>
    <row r="173" spans="1:42" ht="46.5">
      <c r="A173" s="236" t="s">
        <v>100</v>
      </c>
      <c r="B173" s="237"/>
      <c r="C173" s="238"/>
      <c r="D173" s="239"/>
      <c r="E173" s="20" t="s">
        <v>104</v>
      </c>
      <c r="F173" s="21">
        <v>4900</v>
      </c>
      <c r="G173" s="130" t="s">
        <v>130</v>
      </c>
      <c r="H173" s="130" t="s">
        <v>107</v>
      </c>
      <c r="I173" s="130" t="s">
        <v>108</v>
      </c>
      <c r="J173" s="130" t="s">
        <v>149</v>
      </c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28"/>
    </row>
    <row r="174" spans="1:42">
      <c r="A174" s="23" t="s">
        <v>0</v>
      </c>
      <c r="B174" s="23" t="s">
        <v>1</v>
      </c>
      <c r="C174" s="23" t="s">
        <v>2</v>
      </c>
      <c r="D174" s="23" t="s">
        <v>3</v>
      </c>
      <c r="E174" s="23" t="s">
        <v>4</v>
      </c>
      <c r="F174" s="23" t="s">
        <v>5</v>
      </c>
      <c r="G174" s="131" t="s">
        <v>4</v>
      </c>
      <c r="H174" s="131" t="s">
        <v>4</v>
      </c>
      <c r="I174" s="131" t="s">
        <v>4</v>
      </c>
      <c r="J174" s="131" t="s">
        <v>4</v>
      </c>
      <c r="K174" s="131" t="s">
        <v>4</v>
      </c>
      <c r="L174" s="131" t="s">
        <v>4</v>
      </c>
      <c r="M174" s="131" t="s">
        <v>4</v>
      </c>
      <c r="N174" s="131" t="s">
        <v>4</v>
      </c>
      <c r="O174" s="131" t="s">
        <v>4</v>
      </c>
      <c r="P174" s="131" t="s">
        <v>4</v>
      </c>
      <c r="Q174" s="131" t="s">
        <v>4</v>
      </c>
      <c r="R174" s="131" t="s">
        <v>4</v>
      </c>
      <c r="S174" s="131" t="s">
        <v>4</v>
      </c>
      <c r="T174" s="131" t="s">
        <v>4</v>
      </c>
      <c r="U174" s="131" t="s">
        <v>4</v>
      </c>
      <c r="V174" s="131" t="s">
        <v>4</v>
      </c>
      <c r="W174" s="131" t="s">
        <v>4</v>
      </c>
      <c r="X174" s="131" t="s">
        <v>4</v>
      </c>
      <c r="Y174" s="131" t="s">
        <v>4</v>
      </c>
      <c r="Z174" s="131" t="s">
        <v>4</v>
      </c>
      <c r="AA174" s="131" t="s">
        <v>4</v>
      </c>
      <c r="AB174" s="131" t="s">
        <v>4</v>
      </c>
      <c r="AC174" s="131" t="s">
        <v>4</v>
      </c>
      <c r="AD174" s="131" t="s">
        <v>4</v>
      </c>
      <c r="AE174" s="131" t="s">
        <v>4</v>
      </c>
      <c r="AF174" s="131" t="s">
        <v>4</v>
      </c>
      <c r="AG174" s="131" t="s">
        <v>4</v>
      </c>
      <c r="AH174" s="131" t="s">
        <v>4</v>
      </c>
      <c r="AI174" s="131" t="s">
        <v>4</v>
      </c>
      <c r="AJ174" s="131" t="s">
        <v>4</v>
      </c>
      <c r="AK174" s="131" t="s">
        <v>4</v>
      </c>
      <c r="AL174" s="131" t="s">
        <v>4</v>
      </c>
      <c r="AM174" s="131" t="s">
        <v>4</v>
      </c>
      <c r="AN174" s="131" t="s">
        <v>4</v>
      </c>
      <c r="AO174" s="131" t="s">
        <v>4</v>
      </c>
      <c r="AP174" s="23"/>
    </row>
    <row r="175" spans="1:42">
      <c r="A175" s="25" t="s">
        <v>109</v>
      </c>
      <c r="B175" s="25" t="s">
        <v>110</v>
      </c>
      <c r="C175" s="25" t="s">
        <v>111</v>
      </c>
      <c r="D175" s="26">
        <v>60</v>
      </c>
      <c r="E175" s="27">
        <v>45</v>
      </c>
      <c r="F175" s="28">
        <v>2700</v>
      </c>
      <c r="G175" s="132">
        <v>5</v>
      </c>
      <c r="H175" s="132"/>
      <c r="I175" s="132">
        <v>19</v>
      </c>
      <c r="J175" s="132">
        <v>21</v>
      </c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32"/>
      <c r="AK175" s="132"/>
      <c r="AL175" s="132"/>
      <c r="AM175" s="132"/>
      <c r="AN175" s="132"/>
      <c r="AO175" s="132"/>
      <c r="AP175" s="25"/>
    </row>
    <row r="176" spans="1:42">
      <c r="A176" s="25" t="s">
        <v>109</v>
      </c>
      <c r="B176" s="25" t="s">
        <v>131</v>
      </c>
      <c r="C176" s="25" t="s">
        <v>132</v>
      </c>
      <c r="D176" s="26">
        <v>200</v>
      </c>
      <c r="E176" s="27">
        <v>1</v>
      </c>
      <c r="F176" s="28">
        <v>200</v>
      </c>
      <c r="G176" s="132">
        <v>1</v>
      </c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132"/>
      <c r="AI176" s="132"/>
      <c r="AJ176" s="132"/>
      <c r="AK176" s="132"/>
      <c r="AL176" s="132"/>
      <c r="AM176" s="132"/>
      <c r="AN176" s="132"/>
      <c r="AO176" s="132"/>
      <c r="AP176" s="25"/>
    </row>
    <row r="177" spans="1:42">
      <c r="A177" s="25" t="s">
        <v>109</v>
      </c>
      <c r="B177" s="25" t="s">
        <v>112</v>
      </c>
      <c r="C177" s="25" t="s">
        <v>113</v>
      </c>
      <c r="D177" s="26">
        <v>0</v>
      </c>
      <c r="E177" s="27">
        <v>3</v>
      </c>
      <c r="F177" s="28">
        <v>0</v>
      </c>
      <c r="G177" s="132"/>
      <c r="H177" s="132">
        <v>2</v>
      </c>
      <c r="I177" s="132"/>
      <c r="J177" s="132">
        <v>1</v>
      </c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32"/>
      <c r="AK177" s="132"/>
      <c r="AL177" s="132"/>
      <c r="AM177" s="132"/>
      <c r="AN177" s="132"/>
      <c r="AO177" s="132"/>
      <c r="AP177" s="25"/>
    </row>
    <row r="178" spans="1:42">
      <c r="A178" s="25" t="s">
        <v>109</v>
      </c>
      <c r="B178" s="25" t="s">
        <v>114</v>
      </c>
      <c r="C178" s="25" t="s">
        <v>115</v>
      </c>
      <c r="D178" s="26">
        <v>50</v>
      </c>
      <c r="E178" s="27">
        <v>40</v>
      </c>
      <c r="F178" s="28">
        <v>2000</v>
      </c>
      <c r="G178" s="132"/>
      <c r="H178" s="132"/>
      <c r="I178" s="132">
        <v>19</v>
      </c>
      <c r="J178" s="132">
        <v>21</v>
      </c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  <c r="AD178" s="132"/>
      <c r="AE178" s="132"/>
      <c r="AF178" s="132"/>
      <c r="AG178" s="132"/>
      <c r="AH178" s="132"/>
      <c r="AI178" s="132"/>
      <c r="AJ178" s="132"/>
      <c r="AK178" s="132"/>
      <c r="AL178" s="132"/>
      <c r="AM178" s="132"/>
      <c r="AN178" s="132"/>
      <c r="AO178" s="132"/>
      <c r="AP178" s="25"/>
    </row>
    <row r="179" spans="1:42" ht="19.5">
      <c r="A179" s="233"/>
      <c r="B179" s="216"/>
      <c r="C179" s="216"/>
      <c r="D179" s="216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5"/>
      <c r="Y179" s="235"/>
      <c r="Z179" s="235"/>
      <c r="AA179" s="235"/>
      <c r="AB179" s="235"/>
      <c r="AC179" s="235"/>
      <c r="AD179" s="235"/>
      <c r="AE179" s="129"/>
      <c r="AF179" s="129"/>
      <c r="AG179" s="129"/>
      <c r="AH179" s="129"/>
      <c r="AI179" s="129"/>
      <c r="AJ179" s="129"/>
      <c r="AK179" s="129"/>
      <c r="AL179" s="129"/>
      <c r="AM179" s="129"/>
      <c r="AN179" s="129"/>
      <c r="AO179" s="129"/>
      <c r="AP179" s="127"/>
    </row>
    <row r="183" spans="1:42">
      <c r="A183" s="6" t="s">
        <v>169</v>
      </c>
    </row>
    <row r="184" spans="1:42" ht="19.5">
      <c r="A184" s="233" t="s">
        <v>170</v>
      </c>
      <c r="B184" s="216"/>
      <c r="C184" s="216"/>
      <c r="D184" s="216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5"/>
      <c r="Z184" s="235"/>
      <c r="AA184" s="235"/>
      <c r="AB184" s="235"/>
      <c r="AC184" s="235"/>
      <c r="AD184" s="235"/>
      <c r="AE184" s="235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</row>
    <row r="185" spans="1:42" ht="61.8">
      <c r="A185" s="236" t="s">
        <v>100</v>
      </c>
      <c r="B185" s="237"/>
      <c r="C185" s="238"/>
      <c r="D185" s="239"/>
      <c r="E185" s="20" t="s">
        <v>104</v>
      </c>
      <c r="F185" s="21">
        <v>5120</v>
      </c>
      <c r="G185" s="134" t="s">
        <v>171</v>
      </c>
      <c r="H185" s="134" t="s">
        <v>121</v>
      </c>
      <c r="I185" s="134" t="s">
        <v>130</v>
      </c>
      <c r="J185" s="134" t="s">
        <v>106</v>
      </c>
      <c r="K185" s="134" t="s">
        <v>107</v>
      </c>
      <c r="L185" s="134" t="s">
        <v>108</v>
      </c>
      <c r="M185" s="134" t="s">
        <v>149</v>
      </c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  <c r="AN185" s="134"/>
      <c r="AO185" s="134"/>
      <c r="AP185" s="134"/>
    </row>
    <row r="186" spans="1:42">
      <c r="A186" s="23" t="s">
        <v>0</v>
      </c>
      <c r="B186" s="23" t="s">
        <v>1</v>
      </c>
      <c r="C186" s="23" t="s">
        <v>2</v>
      </c>
      <c r="D186" s="23" t="s">
        <v>3</v>
      </c>
      <c r="E186" s="23" t="s">
        <v>4</v>
      </c>
      <c r="F186" s="23" t="s">
        <v>5</v>
      </c>
      <c r="G186" s="135" t="s">
        <v>4</v>
      </c>
      <c r="H186" s="135" t="s">
        <v>4</v>
      </c>
      <c r="I186" s="135" t="s">
        <v>4</v>
      </c>
      <c r="J186" s="135" t="s">
        <v>4</v>
      </c>
      <c r="K186" s="135" t="s">
        <v>4</v>
      </c>
      <c r="L186" s="135" t="s">
        <v>4</v>
      </c>
      <c r="M186" s="135" t="s">
        <v>4</v>
      </c>
      <c r="N186" s="135" t="s">
        <v>4</v>
      </c>
      <c r="O186" s="135" t="s">
        <v>4</v>
      </c>
      <c r="P186" s="135" t="s">
        <v>4</v>
      </c>
      <c r="Q186" s="135" t="s">
        <v>4</v>
      </c>
      <c r="R186" s="135" t="s">
        <v>4</v>
      </c>
      <c r="S186" s="135" t="s">
        <v>4</v>
      </c>
      <c r="T186" s="135" t="s">
        <v>4</v>
      </c>
      <c r="U186" s="135" t="s">
        <v>4</v>
      </c>
      <c r="V186" s="135" t="s">
        <v>4</v>
      </c>
      <c r="W186" s="135" t="s">
        <v>4</v>
      </c>
      <c r="X186" s="135" t="s">
        <v>4</v>
      </c>
      <c r="Y186" s="135" t="s">
        <v>4</v>
      </c>
      <c r="Z186" s="135" t="s">
        <v>4</v>
      </c>
      <c r="AA186" s="135" t="s">
        <v>4</v>
      </c>
      <c r="AB186" s="135" t="s">
        <v>4</v>
      </c>
      <c r="AC186" s="135" t="s">
        <v>4</v>
      </c>
      <c r="AD186" s="135" t="s">
        <v>4</v>
      </c>
      <c r="AE186" s="135" t="s">
        <v>4</v>
      </c>
      <c r="AF186" s="135" t="s">
        <v>4</v>
      </c>
      <c r="AG186" s="135" t="s">
        <v>4</v>
      </c>
      <c r="AH186" s="135" t="s">
        <v>4</v>
      </c>
      <c r="AI186" s="135" t="s">
        <v>4</v>
      </c>
      <c r="AJ186" s="135" t="s">
        <v>4</v>
      </c>
      <c r="AK186" s="135" t="s">
        <v>4</v>
      </c>
      <c r="AL186" s="135" t="s">
        <v>4</v>
      </c>
      <c r="AM186" s="135" t="s">
        <v>4</v>
      </c>
      <c r="AN186" s="135" t="s">
        <v>4</v>
      </c>
      <c r="AO186" s="135" t="s">
        <v>4</v>
      </c>
      <c r="AP186" s="135" t="s">
        <v>4</v>
      </c>
    </row>
    <row r="187" spans="1:42">
      <c r="A187" s="25" t="s">
        <v>109</v>
      </c>
      <c r="B187" s="25" t="s">
        <v>110</v>
      </c>
      <c r="C187" s="25" t="s">
        <v>111</v>
      </c>
      <c r="D187" s="26">
        <v>60</v>
      </c>
      <c r="E187" s="27">
        <v>47</v>
      </c>
      <c r="F187" s="28">
        <v>2820</v>
      </c>
      <c r="G187" s="136"/>
      <c r="H187" s="136">
        <v>1</v>
      </c>
      <c r="I187" s="136">
        <v>4</v>
      </c>
      <c r="J187" s="136"/>
      <c r="K187" s="136"/>
      <c r="L187" s="136">
        <v>21</v>
      </c>
      <c r="M187" s="136">
        <v>21</v>
      </c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</row>
    <row r="188" spans="1:42">
      <c r="A188" s="25" t="s">
        <v>109</v>
      </c>
      <c r="B188" s="25" t="s">
        <v>131</v>
      </c>
      <c r="C188" s="25" t="s">
        <v>132</v>
      </c>
      <c r="D188" s="26">
        <v>200</v>
      </c>
      <c r="E188" s="27">
        <v>1</v>
      </c>
      <c r="F188" s="28">
        <v>200</v>
      </c>
      <c r="G188" s="136"/>
      <c r="H188" s="136"/>
      <c r="I188" s="136">
        <v>1</v>
      </c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</row>
    <row r="189" spans="1:42">
      <c r="A189" s="25" t="s">
        <v>109</v>
      </c>
      <c r="B189" s="25" t="s">
        <v>112</v>
      </c>
      <c r="C189" s="25" t="s">
        <v>113</v>
      </c>
      <c r="D189" s="26">
        <v>0</v>
      </c>
      <c r="E189" s="27">
        <v>1</v>
      </c>
      <c r="F189" s="28">
        <v>0</v>
      </c>
      <c r="G189" s="136"/>
      <c r="H189" s="136"/>
      <c r="I189" s="136"/>
      <c r="J189" s="136"/>
      <c r="K189" s="136">
        <v>1</v>
      </c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</row>
    <row r="190" spans="1:42">
      <c r="A190" s="25" t="s">
        <v>109</v>
      </c>
      <c r="B190" s="25" t="s">
        <v>114</v>
      </c>
      <c r="C190" s="25" t="s">
        <v>115</v>
      </c>
      <c r="D190" s="26">
        <v>50</v>
      </c>
      <c r="E190" s="27">
        <v>42</v>
      </c>
      <c r="F190" s="28">
        <v>2100</v>
      </c>
      <c r="G190" s="136"/>
      <c r="H190" s="136"/>
      <c r="I190" s="136"/>
      <c r="J190" s="136"/>
      <c r="K190" s="136"/>
      <c r="L190" s="136">
        <v>21</v>
      </c>
      <c r="M190" s="136">
        <v>21</v>
      </c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</row>
    <row r="191" spans="1:42" ht="19.5">
      <c r="A191" s="233"/>
      <c r="B191" s="216"/>
      <c r="C191" s="216"/>
      <c r="D191" s="216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5"/>
      <c r="Z191" s="235"/>
      <c r="AA191" s="235"/>
      <c r="AB191" s="235"/>
      <c r="AC191" s="235"/>
      <c r="AD191" s="235"/>
      <c r="AE191" s="235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</row>
    <row r="195" spans="1:42">
      <c r="A195" s="6" t="s">
        <v>173</v>
      </c>
    </row>
    <row r="196" spans="1:42" ht="19.5">
      <c r="A196" s="233" t="s">
        <v>172</v>
      </c>
      <c r="B196" s="216"/>
      <c r="C196" s="216"/>
      <c r="D196" s="216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5"/>
      <c r="Z196" s="235"/>
      <c r="AA196" s="235"/>
      <c r="AB196" s="235"/>
      <c r="AC196" s="235"/>
      <c r="AD196" s="235"/>
      <c r="AE196" s="235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</row>
    <row r="197" spans="1:42" ht="61.8">
      <c r="A197" s="236" t="s">
        <v>100</v>
      </c>
      <c r="B197" s="237"/>
      <c r="C197" s="238"/>
      <c r="D197" s="239"/>
      <c r="E197" s="20" t="s">
        <v>104</v>
      </c>
      <c r="F197" s="21">
        <v>5400</v>
      </c>
      <c r="G197" s="138" t="s">
        <v>121</v>
      </c>
      <c r="H197" s="138" t="s">
        <v>140</v>
      </c>
      <c r="I197" s="138" t="s">
        <v>130</v>
      </c>
      <c r="J197" s="138" t="s">
        <v>106</v>
      </c>
      <c r="K197" s="138" t="s">
        <v>107</v>
      </c>
      <c r="L197" s="138" t="s">
        <v>108</v>
      </c>
      <c r="M197" s="138" t="s">
        <v>149</v>
      </c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  <c r="AE197" s="138"/>
      <c r="AF197" s="138"/>
      <c r="AG197" s="138"/>
      <c r="AH197" s="138"/>
      <c r="AI197" s="138"/>
      <c r="AJ197" s="138"/>
      <c r="AK197" s="138"/>
      <c r="AL197" s="138"/>
      <c r="AM197" s="138"/>
      <c r="AN197" s="138"/>
      <c r="AO197" s="138"/>
      <c r="AP197" s="138"/>
    </row>
    <row r="198" spans="1:42">
      <c r="A198" s="23" t="s">
        <v>0</v>
      </c>
      <c r="B198" s="23" t="s">
        <v>1</v>
      </c>
      <c r="C198" s="23" t="s">
        <v>2</v>
      </c>
      <c r="D198" s="23" t="s">
        <v>3</v>
      </c>
      <c r="E198" s="23" t="s">
        <v>4</v>
      </c>
      <c r="F198" s="23" t="s">
        <v>5</v>
      </c>
      <c r="G198" s="139" t="s">
        <v>4</v>
      </c>
      <c r="H198" s="139" t="s">
        <v>4</v>
      </c>
      <c r="I198" s="139" t="s">
        <v>4</v>
      </c>
      <c r="J198" s="139" t="s">
        <v>4</v>
      </c>
      <c r="K198" s="139" t="s">
        <v>4</v>
      </c>
      <c r="L198" s="139" t="s">
        <v>4</v>
      </c>
      <c r="M198" s="139" t="s">
        <v>4</v>
      </c>
      <c r="N198" s="139" t="s">
        <v>4</v>
      </c>
      <c r="O198" s="139" t="s">
        <v>4</v>
      </c>
      <c r="P198" s="139" t="s">
        <v>4</v>
      </c>
      <c r="Q198" s="139" t="s">
        <v>4</v>
      </c>
      <c r="R198" s="139" t="s">
        <v>4</v>
      </c>
      <c r="S198" s="139" t="s">
        <v>4</v>
      </c>
      <c r="T198" s="139" t="s">
        <v>4</v>
      </c>
      <c r="U198" s="139" t="s">
        <v>4</v>
      </c>
      <c r="V198" s="139" t="s">
        <v>4</v>
      </c>
      <c r="W198" s="139" t="s">
        <v>4</v>
      </c>
      <c r="X198" s="139" t="s">
        <v>4</v>
      </c>
      <c r="Y198" s="139" t="s">
        <v>4</v>
      </c>
      <c r="Z198" s="139" t="s">
        <v>4</v>
      </c>
      <c r="AA198" s="139" t="s">
        <v>4</v>
      </c>
      <c r="AB198" s="139" t="s">
        <v>4</v>
      </c>
      <c r="AC198" s="139" t="s">
        <v>4</v>
      </c>
      <c r="AD198" s="139" t="s">
        <v>4</v>
      </c>
      <c r="AE198" s="139" t="s">
        <v>4</v>
      </c>
      <c r="AF198" s="139" t="s">
        <v>4</v>
      </c>
      <c r="AG198" s="139" t="s">
        <v>4</v>
      </c>
      <c r="AH198" s="139" t="s">
        <v>4</v>
      </c>
      <c r="AI198" s="139" t="s">
        <v>4</v>
      </c>
      <c r="AJ198" s="139" t="s">
        <v>4</v>
      </c>
      <c r="AK198" s="139" t="s">
        <v>4</v>
      </c>
      <c r="AL198" s="139" t="s">
        <v>4</v>
      </c>
      <c r="AM198" s="139" t="s">
        <v>4</v>
      </c>
      <c r="AN198" s="139" t="s">
        <v>4</v>
      </c>
      <c r="AO198" s="139" t="s">
        <v>4</v>
      </c>
      <c r="AP198" s="139" t="s">
        <v>4</v>
      </c>
    </row>
    <row r="199" spans="1:42">
      <c r="A199" s="25" t="s">
        <v>109</v>
      </c>
      <c r="B199" s="25" t="s">
        <v>110</v>
      </c>
      <c r="C199" s="25" t="s">
        <v>111</v>
      </c>
      <c r="D199" s="26">
        <v>60</v>
      </c>
      <c r="E199" s="27">
        <v>50</v>
      </c>
      <c r="F199" s="28">
        <v>3000</v>
      </c>
      <c r="G199" s="140">
        <v>1</v>
      </c>
      <c r="H199" s="140">
        <v>1</v>
      </c>
      <c r="I199" s="140">
        <v>4</v>
      </c>
      <c r="J199" s="140"/>
      <c r="K199" s="140"/>
      <c r="L199" s="140">
        <v>22</v>
      </c>
      <c r="M199" s="140">
        <v>22</v>
      </c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140"/>
    </row>
    <row r="200" spans="1:42">
      <c r="A200" s="25" t="s">
        <v>109</v>
      </c>
      <c r="B200" s="25" t="s">
        <v>131</v>
      </c>
      <c r="C200" s="25" t="s">
        <v>132</v>
      </c>
      <c r="D200" s="26">
        <v>200</v>
      </c>
      <c r="E200" s="27">
        <v>1</v>
      </c>
      <c r="F200" s="28">
        <v>200</v>
      </c>
      <c r="G200" s="140"/>
      <c r="H200" s="140"/>
      <c r="I200" s="140">
        <v>1</v>
      </c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</row>
    <row r="201" spans="1:42">
      <c r="A201" s="25" t="s">
        <v>109</v>
      </c>
      <c r="B201" s="25" t="s">
        <v>112</v>
      </c>
      <c r="C201" s="25" t="s">
        <v>113</v>
      </c>
      <c r="D201" s="26">
        <v>0</v>
      </c>
      <c r="E201" s="27">
        <v>2</v>
      </c>
      <c r="F201" s="28">
        <v>0</v>
      </c>
      <c r="G201" s="140"/>
      <c r="H201" s="140"/>
      <c r="I201" s="140"/>
      <c r="J201" s="140"/>
      <c r="K201" s="140">
        <v>2</v>
      </c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  <c r="AJ201" s="140"/>
      <c r="AK201" s="140"/>
      <c r="AL201" s="140"/>
      <c r="AM201" s="140"/>
      <c r="AN201" s="140"/>
      <c r="AO201" s="140"/>
      <c r="AP201" s="140"/>
    </row>
    <row r="202" spans="1:42">
      <c r="A202" s="25" t="s">
        <v>109</v>
      </c>
      <c r="B202" s="25" t="s">
        <v>114</v>
      </c>
      <c r="C202" s="25" t="s">
        <v>115</v>
      </c>
      <c r="D202" s="26">
        <v>50</v>
      </c>
      <c r="E202" s="27">
        <v>44</v>
      </c>
      <c r="F202" s="28">
        <v>2200</v>
      </c>
      <c r="G202" s="140"/>
      <c r="H202" s="140"/>
      <c r="I202" s="140"/>
      <c r="J202" s="140"/>
      <c r="K202" s="140"/>
      <c r="L202" s="140">
        <v>22</v>
      </c>
      <c r="M202" s="140">
        <v>22</v>
      </c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  <c r="AJ202" s="140"/>
      <c r="AK202" s="140"/>
      <c r="AL202" s="140"/>
      <c r="AM202" s="140"/>
      <c r="AN202" s="140"/>
      <c r="AO202" s="140"/>
      <c r="AP202" s="140"/>
    </row>
    <row r="203" spans="1:42" ht="19.5">
      <c r="A203" s="233"/>
      <c r="B203" s="216"/>
      <c r="C203" s="216"/>
      <c r="D203" s="216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5"/>
      <c r="Z203" s="235"/>
      <c r="AA203" s="235"/>
      <c r="AB203" s="235"/>
      <c r="AC203" s="235"/>
      <c r="AD203" s="235"/>
      <c r="AE203" s="235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</row>
    <row r="204" spans="1:42" ht="18.3">
      <c r="A204" s="110" t="s">
        <v>174</v>
      </c>
      <c r="B204" s="110"/>
      <c r="C204" s="111">
        <v>4900</v>
      </c>
    </row>
    <row r="205" spans="1:42" ht="18.3">
      <c r="A205" s="126">
        <f>SUM(C204:C206)</f>
        <v>15420</v>
      </c>
      <c r="B205" s="110"/>
      <c r="C205" s="111">
        <v>5120</v>
      </c>
    </row>
    <row r="206" spans="1:42" ht="18.3">
      <c r="A206" s="110"/>
      <c r="B206" s="110"/>
      <c r="C206" s="111">
        <v>5400</v>
      </c>
    </row>
    <row r="210" spans="1:42">
      <c r="A210" s="6" t="s">
        <v>192</v>
      </c>
    </row>
    <row r="211" spans="1:42" ht="19.5">
      <c r="A211" s="233" t="s">
        <v>191</v>
      </c>
      <c r="B211" s="216"/>
      <c r="C211" s="216"/>
      <c r="D211" s="216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5"/>
      <c r="Z211" s="235"/>
      <c r="AA211" s="235"/>
      <c r="AB211" s="235"/>
      <c r="AC211" s="235"/>
      <c r="AD211" s="235"/>
      <c r="AE211" s="235"/>
      <c r="AF211" s="154"/>
      <c r="AG211" s="154"/>
      <c r="AH211" s="154"/>
      <c r="AI211" s="154"/>
      <c r="AJ211" s="154"/>
      <c r="AK211" s="154"/>
      <c r="AL211" s="154"/>
      <c r="AM211" s="154"/>
      <c r="AN211" s="154"/>
      <c r="AO211" s="154"/>
      <c r="AP211" s="154"/>
    </row>
    <row r="212" spans="1:42" ht="61.8">
      <c r="A212" s="236" t="s">
        <v>100</v>
      </c>
      <c r="B212" s="237"/>
      <c r="C212" s="238"/>
      <c r="D212" s="239"/>
      <c r="E212" s="20" t="s">
        <v>104</v>
      </c>
      <c r="F212" s="21">
        <v>4340</v>
      </c>
      <c r="G212" s="155" t="s">
        <v>121</v>
      </c>
      <c r="H212" s="155" t="s">
        <v>130</v>
      </c>
      <c r="I212" s="155" t="s">
        <v>107</v>
      </c>
      <c r="J212" s="155" t="s">
        <v>108</v>
      </c>
      <c r="K212" s="155" t="s">
        <v>149</v>
      </c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155"/>
      <c r="AI212" s="155"/>
      <c r="AJ212" s="155"/>
      <c r="AK212" s="155"/>
      <c r="AL212" s="155"/>
      <c r="AM212" s="155"/>
      <c r="AN212" s="155"/>
      <c r="AO212" s="155"/>
      <c r="AP212" s="155"/>
    </row>
    <row r="213" spans="1:42">
      <c r="A213" s="23" t="s">
        <v>0</v>
      </c>
      <c r="B213" s="23" t="s">
        <v>1</v>
      </c>
      <c r="C213" s="23" t="s">
        <v>2</v>
      </c>
      <c r="D213" s="23" t="s">
        <v>3</v>
      </c>
      <c r="E213" s="23" t="s">
        <v>4</v>
      </c>
      <c r="F213" s="23" t="s">
        <v>5</v>
      </c>
      <c r="G213" s="156" t="s">
        <v>4</v>
      </c>
      <c r="H213" s="156" t="s">
        <v>4</v>
      </c>
      <c r="I213" s="156" t="s">
        <v>4</v>
      </c>
      <c r="J213" s="156" t="s">
        <v>4</v>
      </c>
      <c r="K213" s="156" t="s">
        <v>4</v>
      </c>
      <c r="L213" s="156" t="s">
        <v>4</v>
      </c>
      <c r="M213" s="156" t="s">
        <v>4</v>
      </c>
      <c r="N213" s="156" t="s">
        <v>4</v>
      </c>
      <c r="O213" s="156" t="s">
        <v>4</v>
      </c>
      <c r="P213" s="156" t="s">
        <v>4</v>
      </c>
      <c r="Q213" s="156" t="s">
        <v>4</v>
      </c>
      <c r="R213" s="156" t="s">
        <v>4</v>
      </c>
      <c r="S213" s="156" t="s">
        <v>4</v>
      </c>
      <c r="T213" s="156" t="s">
        <v>4</v>
      </c>
      <c r="U213" s="156" t="s">
        <v>4</v>
      </c>
      <c r="V213" s="156" t="s">
        <v>4</v>
      </c>
      <c r="W213" s="156" t="s">
        <v>4</v>
      </c>
      <c r="X213" s="156" t="s">
        <v>4</v>
      </c>
      <c r="Y213" s="156" t="s">
        <v>4</v>
      </c>
      <c r="Z213" s="156" t="s">
        <v>4</v>
      </c>
      <c r="AA213" s="156" t="s">
        <v>4</v>
      </c>
      <c r="AB213" s="156" t="s">
        <v>4</v>
      </c>
      <c r="AC213" s="156" t="s">
        <v>4</v>
      </c>
      <c r="AD213" s="156" t="s">
        <v>4</v>
      </c>
      <c r="AE213" s="156" t="s">
        <v>4</v>
      </c>
      <c r="AF213" s="156" t="s">
        <v>4</v>
      </c>
      <c r="AG213" s="156" t="s">
        <v>4</v>
      </c>
      <c r="AH213" s="156" t="s">
        <v>4</v>
      </c>
      <c r="AI213" s="156" t="s">
        <v>4</v>
      </c>
      <c r="AJ213" s="156" t="s">
        <v>4</v>
      </c>
      <c r="AK213" s="156" t="s">
        <v>4</v>
      </c>
      <c r="AL213" s="156" t="s">
        <v>4</v>
      </c>
      <c r="AM213" s="156" t="s">
        <v>4</v>
      </c>
      <c r="AN213" s="156" t="s">
        <v>4</v>
      </c>
      <c r="AO213" s="156" t="s">
        <v>4</v>
      </c>
      <c r="AP213" s="156" t="s">
        <v>4</v>
      </c>
    </row>
    <row r="214" spans="1:42">
      <c r="A214" s="25" t="s">
        <v>109</v>
      </c>
      <c r="B214" s="25" t="s">
        <v>110</v>
      </c>
      <c r="C214" s="25" t="s">
        <v>111</v>
      </c>
      <c r="D214" s="26">
        <v>60</v>
      </c>
      <c r="E214" s="27">
        <v>39</v>
      </c>
      <c r="F214" s="28">
        <v>2340</v>
      </c>
      <c r="G214" s="157">
        <v>1</v>
      </c>
      <c r="H214" s="157">
        <v>2</v>
      </c>
      <c r="I214" s="157"/>
      <c r="J214" s="157">
        <v>17</v>
      </c>
      <c r="K214" s="157">
        <v>19</v>
      </c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157"/>
      <c r="AJ214" s="157"/>
      <c r="AK214" s="157"/>
      <c r="AL214" s="157"/>
      <c r="AM214" s="157"/>
      <c r="AN214" s="157"/>
      <c r="AO214" s="157"/>
      <c r="AP214" s="157"/>
    </row>
    <row r="215" spans="1:42">
      <c r="A215" s="25" t="s">
        <v>109</v>
      </c>
      <c r="B215" s="25" t="s">
        <v>131</v>
      </c>
      <c r="C215" s="25" t="s">
        <v>132</v>
      </c>
      <c r="D215" s="26">
        <v>200</v>
      </c>
      <c r="E215" s="27">
        <v>1</v>
      </c>
      <c r="F215" s="28">
        <v>200</v>
      </c>
      <c r="G215" s="157"/>
      <c r="H215" s="157">
        <v>1</v>
      </c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157"/>
      <c r="AJ215" s="157"/>
      <c r="AK215" s="157"/>
      <c r="AL215" s="157"/>
      <c r="AM215" s="157"/>
      <c r="AN215" s="157"/>
      <c r="AO215" s="157"/>
      <c r="AP215" s="157"/>
    </row>
    <row r="216" spans="1:42">
      <c r="A216" s="25" t="s">
        <v>109</v>
      </c>
      <c r="B216" s="25" t="s">
        <v>112</v>
      </c>
      <c r="C216" s="25" t="s">
        <v>113</v>
      </c>
      <c r="D216" s="26">
        <v>0</v>
      </c>
      <c r="E216" s="27">
        <v>8</v>
      </c>
      <c r="F216" s="28">
        <v>0</v>
      </c>
      <c r="G216" s="157"/>
      <c r="H216" s="157">
        <v>1</v>
      </c>
      <c r="I216" s="157">
        <v>2</v>
      </c>
      <c r="J216" s="157"/>
      <c r="K216" s="157">
        <v>5</v>
      </c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157"/>
      <c r="AJ216" s="157"/>
      <c r="AK216" s="157"/>
      <c r="AL216" s="157"/>
      <c r="AM216" s="157"/>
      <c r="AN216" s="157"/>
      <c r="AO216" s="157"/>
      <c r="AP216" s="157"/>
    </row>
    <row r="217" spans="1:42">
      <c r="A217" s="25" t="s">
        <v>109</v>
      </c>
      <c r="B217" s="25" t="s">
        <v>114</v>
      </c>
      <c r="C217" s="25" t="s">
        <v>115</v>
      </c>
      <c r="D217" s="26">
        <v>50</v>
      </c>
      <c r="E217" s="27">
        <v>36</v>
      </c>
      <c r="F217" s="28">
        <v>1800</v>
      </c>
      <c r="G217" s="157"/>
      <c r="H217" s="157"/>
      <c r="I217" s="157"/>
      <c r="J217" s="157">
        <v>17</v>
      </c>
      <c r="K217" s="157">
        <v>19</v>
      </c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J217" s="157"/>
      <c r="AK217" s="157"/>
      <c r="AL217" s="157"/>
      <c r="AM217" s="157"/>
      <c r="AN217" s="157"/>
      <c r="AO217" s="157"/>
      <c r="AP217" s="157"/>
    </row>
    <row r="218" spans="1:42" ht="19.5">
      <c r="A218" s="233"/>
      <c r="B218" s="216"/>
      <c r="C218" s="216"/>
      <c r="D218" s="216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5"/>
      <c r="Z218" s="235"/>
      <c r="AA218" s="235"/>
      <c r="AB218" s="235"/>
      <c r="AC218" s="235"/>
      <c r="AD218" s="235"/>
      <c r="AE218" s="235"/>
      <c r="AF218" s="154"/>
      <c r="AG218" s="154"/>
      <c r="AH218" s="154"/>
      <c r="AI218" s="154"/>
      <c r="AJ218" s="154"/>
      <c r="AK218" s="154"/>
      <c r="AL218" s="154"/>
      <c r="AM218" s="154"/>
      <c r="AN218" s="154"/>
      <c r="AO218" s="154"/>
      <c r="AP218" s="154"/>
    </row>
    <row r="222" spans="1:42">
      <c r="A222" s="6" t="s">
        <v>192</v>
      </c>
    </row>
    <row r="223" spans="1:42" ht="19.5">
      <c r="A223" s="233" t="s">
        <v>193</v>
      </c>
      <c r="B223" s="216"/>
      <c r="C223" s="216"/>
      <c r="D223" s="216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5"/>
      <c r="Z223" s="235"/>
      <c r="AA223" s="235"/>
      <c r="AB223" s="235"/>
      <c r="AC223" s="235"/>
      <c r="AD223" s="235"/>
      <c r="AE223" s="235"/>
      <c r="AF223" s="158"/>
      <c r="AG223" s="158"/>
      <c r="AH223" s="158"/>
      <c r="AI223" s="158"/>
      <c r="AJ223" s="158"/>
      <c r="AK223" s="158"/>
      <c r="AL223" s="158"/>
      <c r="AM223" s="158"/>
      <c r="AN223" s="158"/>
      <c r="AO223" s="158"/>
      <c r="AP223" s="158"/>
    </row>
    <row r="224" spans="1:42" ht="46.5">
      <c r="A224" s="236" t="s">
        <v>100</v>
      </c>
      <c r="B224" s="237"/>
      <c r="C224" s="238"/>
      <c r="D224" s="239"/>
      <c r="E224" s="20" t="s">
        <v>104</v>
      </c>
      <c r="F224" s="21">
        <v>4510</v>
      </c>
      <c r="G224" s="159" t="s">
        <v>107</v>
      </c>
      <c r="H224" s="159" t="s">
        <v>108</v>
      </c>
      <c r="I224" s="159" t="s">
        <v>149</v>
      </c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159"/>
      <c r="AE224" s="159"/>
      <c r="AF224" s="159"/>
      <c r="AG224" s="159"/>
      <c r="AH224" s="159"/>
      <c r="AI224" s="159"/>
      <c r="AJ224" s="159"/>
      <c r="AK224" s="159"/>
      <c r="AL224" s="159"/>
      <c r="AM224" s="159"/>
      <c r="AN224" s="159"/>
      <c r="AO224" s="159"/>
      <c r="AP224" s="159"/>
    </row>
    <row r="225" spans="1:42">
      <c r="A225" s="23" t="s">
        <v>0</v>
      </c>
      <c r="B225" s="23" t="s">
        <v>1</v>
      </c>
      <c r="C225" s="23" t="s">
        <v>2</v>
      </c>
      <c r="D225" s="23" t="s">
        <v>3</v>
      </c>
      <c r="E225" s="23" t="s">
        <v>4</v>
      </c>
      <c r="F225" s="23" t="s">
        <v>5</v>
      </c>
      <c r="G225" s="160" t="s">
        <v>4</v>
      </c>
      <c r="H225" s="160" t="s">
        <v>4</v>
      </c>
      <c r="I225" s="160" t="s">
        <v>4</v>
      </c>
      <c r="J225" s="160" t="s">
        <v>4</v>
      </c>
      <c r="K225" s="160" t="s">
        <v>4</v>
      </c>
      <c r="L225" s="160" t="s">
        <v>4</v>
      </c>
      <c r="M225" s="160" t="s">
        <v>4</v>
      </c>
      <c r="N225" s="160" t="s">
        <v>4</v>
      </c>
      <c r="O225" s="160" t="s">
        <v>4</v>
      </c>
      <c r="P225" s="160" t="s">
        <v>4</v>
      </c>
      <c r="Q225" s="160" t="s">
        <v>4</v>
      </c>
      <c r="R225" s="160" t="s">
        <v>4</v>
      </c>
      <c r="S225" s="160" t="s">
        <v>4</v>
      </c>
      <c r="T225" s="160" t="s">
        <v>4</v>
      </c>
      <c r="U225" s="160" t="s">
        <v>4</v>
      </c>
      <c r="V225" s="160" t="s">
        <v>4</v>
      </c>
      <c r="W225" s="160" t="s">
        <v>4</v>
      </c>
      <c r="X225" s="160" t="s">
        <v>4</v>
      </c>
      <c r="Y225" s="160" t="s">
        <v>4</v>
      </c>
      <c r="Z225" s="160" t="s">
        <v>4</v>
      </c>
      <c r="AA225" s="160" t="s">
        <v>4</v>
      </c>
      <c r="AB225" s="160" t="s">
        <v>4</v>
      </c>
      <c r="AC225" s="160" t="s">
        <v>4</v>
      </c>
      <c r="AD225" s="160" t="s">
        <v>4</v>
      </c>
      <c r="AE225" s="160" t="s">
        <v>4</v>
      </c>
      <c r="AF225" s="160" t="s">
        <v>4</v>
      </c>
      <c r="AG225" s="160" t="s">
        <v>4</v>
      </c>
      <c r="AH225" s="160" t="s">
        <v>4</v>
      </c>
      <c r="AI225" s="160" t="s">
        <v>4</v>
      </c>
      <c r="AJ225" s="160" t="s">
        <v>4</v>
      </c>
      <c r="AK225" s="160" t="s">
        <v>4</v>
      </c>
      <c r="AL225" s="160" t="s">
        <v>4</v>
      </c>
      <c r="AM225" s="160" t="s">
        <v>4</v>
      </c>
      <c r="AN225" s="160" t="s">
        <v>4</v>
      </c>
      <c r="AO225" s="160" t="s">
        <v>4</v>
      </c>
      <c r="AP225" s="160" t="s">
        <v>4</v>
      </c>
    </row>
    <row r="226" spans="1:42">
      <c r="A226" s="25" t="s">
        <v>109</v>
      </c>
      <c r="B226" s="25" t="s">
        <v>110</v>
      </c>
      <c r="C226" s="25" t="s">
        <v>111</v>
      </c>
      <c r="D226" s="26">
        <v>60</v>
      </c>
      <c r="E226" s="27">
        <v>41</v>
      </c>
      <c r="F226" s="28">
        <v>2460</v>
      </c>
      <c r="G226" s="161"/>
      <c r="H226" s="161">
        <v>20</v>
      </c>
      <c r="I226" s="161">
        <v>21</v>
      </c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</row>
    <row r="227" spans="1:42">
      <c r="A227" s="25" t="s">
        <v>109</v>
      </c>
      <c r="B227" s="25" t="s">
        <v>112</v>
      </c>
      <c r="C227" s="25" t="s">
        <v>113</v>
      </c>
      <c r="D227" s="26">
        <v>0</v>
      </c>
      <c r="E227" s="27">
        <v>2</v>
      </c>
      <c r="F227" s="28">
        <v>0</v>
      </c>
      <c r="G227" s="161">
        <v>1</v>
      </c>
      <c r="H227" s="161"/>
      <c r="I227" s="161">
        <v>1</v>
      </c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</row>
    <row r="228" spans="1:42">
      <c r="A228" s="25" t="s">
        <v>109</v>
      </c>
      <c r="B228" s="25" t="s">
        <v>114</v>
      </c>
      <c r="C228" s="25" t="s">
        <v>115</v>
      </c>
      <c r="D228" s="26">
        <v>50</v>
      </c>
      <c r="E228" s="27">
        <v>41</v>
      </c>
      <c r="F228" s="28">
        <v>2050</v>
      </c>
      <c r="G228" s="161"/>
      <c r="H228" s="161">
        <v>20</v>
      </c>
      <c r="I228" s="161">
        <v>21</v>
      </c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</row>
    <row r="229" spans="1:42" ht="19.5">
      <c r="A229" s="233"/>
      <c r="B229" s="216"/>
      <c r="C229" s="216"/>
      <c r="D229" s="216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5"/>
      <c r="Z229" s="235"/>
      <c r="AA229" s="235"/>
      <c r="AB229" s="235"/>
      <c r="AC229" s="235"/>
      <c r="AD229" s="235"/>
      <c r="AE229" s="235"/>
      <c r="AF229" s="158"/>
      <c r="AG229" s="158"/>
      <c r="AH229" s="158"/>
      <c r="AI229" s="158"/>
      <c r="AJ229" s="158"/>
      <c r="AK229" s="158"/>
      <c r="AL229" s="158"/>
      <c r="AM229" s="158"/>
      <c r="AN229" s="158"/>
      <c r="AO229" s="158"/>
      <c r="AP229" s="158"/>
    </row>
    <row r="233" spans="1:42">
      <c r="A233" s="6" t="s">
        <v>192</v>
      </c>
    </row>
    <row r="234" spans="1:42" ht="19.5">
      <c r="A234" s="233" t="s">
        <v>194</v>
      </c>
      <c r="B234" s="216"/>
      <c r="C234" s="216"/>
      <c r="D234" s="216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5"/>
      <c r="Z234" s="235"/>
      <c r="AA234" s="235"/>
      <c r="AB234" s="235"/>
      <c r="AC234" s="235"/>
      <c r="AD234" s="235"/>
      <c r="AE234" s="235"/>
      <c r="AF234" s="162"/>
      <c r="AG234" s="162"/>
      <c r="AH234" s="162"/>
      <c r="AI234" s="162"/>
      <c r="AJ234" s="162"/>
      <c r="AK234" s="162"/>
      <c r="AL234" s="162"/>
      <c r="AM234" s="162"/>
      <c r="AN234" s="162"/>
      <c r="AO234" s="162"/>
      <c r="AP234" s="162"/>
    </row>
    <row r="235" spans="1:42" ht="46.5">
      <c r="A235" s="236" t="s">
        <v>100</v>
      </c>
      <c r="B235" s="237"/>
      <c r="C235" s="238"/>
      <c r="D235" s="239"/>
      <c r="E235" s="20" t="s">
        <v>104</v>
      </c>
      <c r="F235" s="21">
        <v>4620</v>
      </c>
      <c r="G235" s="163" t="s">
        <v>107</v>
      </c>
      <c r="H235" s="163" t="s">
        <v>108</v>
      </c>
      <c r="I235" s="163" t="s">
        <v>149</v>
      </c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</row>
    <row r="236" spans="1:42">
      <c r="A236" s="23" t="s">
        <v>0</v>
      </c>
      <c r="B236" s="23" t="s">
        <v>1</v>
      </c>
      <c r="C236" s="23" t="s">
        <v>2</v>
      </c>
      <c r="D236" s="23" t="s">
        <v>3</v>
      </c>
      <c r="E236" s="23" t="s">
        <v>4</v>
      </c>
      <c r="F236" s="23" t="s">
        <v>5</v>
      </c>
      <c r="G236" s="164" t="s">
        <v>4</v>
      </c>
      <c r="H236" s="164" t="s">
        <v>4</v>
      </c>
      <c r="I236" s="164" t="s">
        <v>4</v>
      </c>
      <c r="J236" s="164" t="s">
        <v>4</v>
      </c>
      <c r="K236" s="164" t="s">
        <v>4</v>
      </c>
      <c r="L236" s="164" t="s">
        <v>4</v>
      </c>
      <c r="M236" s="164" t="s">
        <v>4</v>
      </c>
      <c r="N236" s="164" t="s">
        <v>4</v>
      </c>
      <c r="O236" s="164" t="s">
        <v>4</v>
      </c>
      <c r="P236" s="164" t="s">
        <v>4</v>
      </c>
      <c r="Q236" s="164" t="s">
        <v>4</v>
      </c>
      <c r="R236" s="164" t="s">
        <v>4</v>
      </c>
      <c r="S236" s="164" t="s">
        <v>4</v>
      </c>
      <c r="T236" s="164" t="s">
        <v>4</v>
      </c>
      <c r="U236" s="164" t="s">
        <v>4</v>
      </c>
      <c r="V236" s="164" t="s">
        <v>4</v>
      </c>
      <c r="W236" s="164" t="s">
        <v>4</v>
      </c>
      <c r="X236" s="164" t="s">
        <v>4</v>
      </c>
      <c r="Y236" s="164" t="s">
        <v>4</v>
      </c>
      <c r="Z236" s="164" t="s">
        <v>4</v>
      </c>
      <c r="AA236" s="164" t="s">
        <v>4</v>
      </c>
      <c r="AB236" s="164" t="s">
        <v>4</v>
      </c>
      <c r="AC236" s="164" t="s">
        <v>4</v>
      </c>
      <c r="AD236" s="164" t="s">
        <v>4</v>
      </c>
      <c r="AE236" s="164" t="s">
        <v>4</v>
      </c>
      <c r="AF236" s="164" t="s">
        <v>4</v>
      </c>
      <c r="AG236" s="164" t="s">
        <v>4</v>
      </c>
      <c r="AH236" s="164" t="s">
        <v>4</v>
      </c>
      <c r="AI236" s="164" t="s">
        <v>4</v>
      </c>
      <c r="AJ236" s="164" t="s">
        <v>4</v>
      </c>
      <c r="AK236" s="164" t="s">
        <v>4</v>
      </c>
      <c r="AL236" s="164" t="s">
        <v>4</v>
      </c>
      <c r="AM236" s="164" t="s">
        <v>4</v>
      </c>
      <c r="AN236" s="164" t="s">
        <v>4</v>
      </c>
      <c r="AO236" s="164" t="s">
        <v>4</v>
      </c>
      <c r="AP236" s="164" t="s">
        <v>4</v>
      </c>
    </row>
    <row r="237" spans="1:42">
      <c r="A237" s="25" t="s">
        <v>109</v>
      </c>
      <c r="B237" s="25" t="s">
        <v>110</v>
      </c>
      <c r="C237" s="25" t="s">
        <v>111</v>
      </c>
      <c r="D237" s="26">
        <v>60</v>
      </c>
      <c r="E237" s="27">
        <v>42</v>
      </c>
      <c r="F237" s="28">
        <v>2520</v>
      </c>
      <c r="G237" s="165"/>
      <c r="H237" s="165">
        <v>21</v>
      </c>
      <c r="I237" s="165">
        <v>21</v>
      </c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  <c r="AC237" s="165"/>
      <c r="AD237" s="165"/>
      <c r="AE237" s="165"/>
      <c r="AF237" s="165"/>
      <c r="AG237" s="165"/>
      <c r="AH237" s="165"/>
      <c r="AI237" s="165"/>
      <c r="AJ237" s="165"/>
      <c r="AK237" s="165"/>
      <c r="AL237" s="165"/>
      <c r="AM237" s="165"/>
      <c r="AN237" s="165"/>
      <c r="AO237" s="165"/>
      <c r="AP237" s="165"/>
    </row>
    <row r="238" spans="1:42">
      <c r="A238" s="25" t="s">
        <v>109</v>
      </c>
      <c r="B238" s="25" t="s">
        <v>112</v>
      </c>
      <c r="C238" s="25" t="s">
        <v>113</v>
      </c>
      <c r="D238" s="26">
        <v>0</v>
      </c>
      <c r="E238" s="27">
        <v>3</v>
      </c>
      <c r="F238" s="28">
        <v>0</v>
      </c>
      <c r="G238" s="165">
        <v>3</v>
      </c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  <c r="AE238" s="165"/>
      <c r="AF238" s="165"/>
      <c r="AG238" s="165"/>
      <c r="AH238" s="165"/>
      <c r="AI238" s="165"/>
      <c r="AJ238" s="165"/>
      <c r="AK238" s="165"/>
      <c r="AL238" s="165"/>
      <c r="AM238" s="165"/>
      <c r="AN238" s="165"/>
      <c r="AO238" s="165"/>
      <c r="AP238" s="165"/>
    </row>
    <row r="239" spans="1:42">
      <c r="A239" s="25" t="s">
        <v>109</v>
      </c>
      <c r="B239" s="25" t="s">
        <v>114</v>
      </c>
      <c r="C239" s="25" t="s">
        <v>115</v>
      </c>
      <c r="D239" s="26">
        <v>50</v>
      </c>
      <c r="E239" s="27">
        <v>42</v>
      </c>
      <c r="F239" s="28">
        <v>2100</v>
      </c>
      <c r="G239" s="165"/>
      <c r="H239" s="165">
        <v>21</v>
      </c>
      <c r="I239" s="165">
        <v>21</v>
      </c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  <c r="AE239" s="165"/>
      <c r="AF239" s="165"/>
      <c r="AG239" s="165"/>
      <c r="AH239" s="165"/>
      <c r="AI239" s="165"/>
      <c r="AJ239" s="165"/>
      <c r="AK239" s="165"/>
      <c r="AL239" s="165"/>
      <c r="AM239" s="165"/>
      <c r="AN239" s="165"/>
      <c r="AO239" s="165"/>
      <c r="AP239" s="165"/>
    </row>
    <row r="240" spans="1:42" ht="19.5">
      <c r="A240" s="233"/>
      <c r="B240" s="216"/>
      <c r="C240" s="216"/>
      <c r="D240" s="216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5"/>
      <c r="Z240" s="235"/>
      <c r="AA240" s="235"/>
      <c r="AB240" s="235"/>
      <c r="AC240" s="235"/>
      <c r="AD240" s="235"/>
      <c r="AE240" s="235"/>
      <c r="AF240" s="162"/>
      <c r="AG240" s="162"/>
      <c r="AH240" s="162"/>
      <c r="AI240" s="162"/>
      <c r="AJ240" s="162"/>
      <c r="AK240" s="162"/>
      <c r="AL240" s="162"/>
      <c r="AM240" s="162"/>
      <c r="AN240" s="162"/>
      <c r="AO240" s="162"/>
      <c r="AP240" s="162"/>
    </row>
    <row r="241" spans="1:42" ht="18.3">
      <c r="A241" s="110" t="s">
        <v>195</v>
      </c>
      <c r="B241" s="110"/>
      <c r="C241" s="111">
        <f>F212</f>
        <v>4340</v>
      </c>
    </row>
    <row r="242" spans="1:42" ht="18.3">
      <c r="A242" s="126">
        <f>SUM(C241:C243)</f>
        <v>13470</v>
      </c>
      <c r="B242" s="110"/>
      <c r="C242" s="111">
        <f>F224</f>
        <v>4510</v>
      </c>
    </row>
    <row r="243" spans="1:42" ht="18.3">
      <c r="A243" s="110"/>
      <c r="B243" s="110"/>
      <c r="C243" s="111">
        <f>F235</f>
        <v>4620</v>
      </c>
    </row>
    <row r="247" spans="1:42">
      <c r="A247" s="6" t="s">
        <v>213</v>
      </c>
    </row>
    <row r="248" spans="1:42" ht="19.5">
      <c r="A248" s="233" t="s">
        <v>212</v>
      </c>
      <c r="B248" s="216"/>
      <c r="C248" s="216"/>
      <c r="D248" s="216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5"/>
      <c r="Z248" s="235"/>
      <c r="AA248" s="235"/>
      <c r="AB248" s="235"/>
      <c r="AC248" s="235"/>
      <c r="AD248" s="235"/>
      <c r="AE248" s="235"/>
      <c r="AF248" s="188"/>
      <c r="AG248" s="188"/>
      <c r="AH248" s="188"/>
      <c r="AI248" s="188"/>
      <c r="AJ248" s="188"/>
      <c r="AK248" s="188"/>
      <c r="AL248" s="188"/>
      <c r="AM248" s="188"/>
      <c r="AN248" s="188"/>
      <c r="AO248" s="188"/>
      <c r="AP248" s="188"/>
    </row>
    <row r="249" spans="1:42" ht="46.5">
      <c r="A249" s="236" t="s">
        <v>100</v>
      </c>
      <c r="B249" s="237"/>
      <c r="C249" s="238"/>
      <c r="D249" s="239"/>
      <c r="E249" s="20" t="s">
        <v>104</v>
      </c>
      <c r="F249" s="21">
        <v>4180</v>
      </c>
      <c r="G249" s="189" t="s">
        <v>106</v>
      </c>
      <c r="H249" s="189" t="s">
        <v>107</v>
      </c>
      <c r="I249" s="189" t="s">
        <v>108</v>
      </c>
      <c r="J249" s="189" t="s">
        <v>149</v>
      </c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  <c r="AA249" s="189"/>
      <c r="AB249" s="189"/>
      <c r="AC249" s="189"/>
      <c r="AD249" s="189"/>
      <c r="AE249" s="189"/>
      <c r="AF249" s="189"/>
      <c r="AG249" s="189"/>
      <c r="AH249" s="189"/>
      <c r="AI249" s="189"/>
      <c r="AJ249" s="189"/>
      <c r="AK249" s="189"/>
      <c r="AL249" s="189"/>
      <c r="AM249" s="189"/>
      <c r="AN249" s="189"/>
      <c r="AO249" s="189"/>
      <c r="AP249" s="189"/>
    </row>
    <row r="250" spans="1:42">
      <c r="A250" s="23" t="s">
        <v>0</v>
      </c>
      <c r="B250" s="23" t="s">
        <v>1</v>
      </c>
      <c r="C250" s="23" t="s">
        <v>2</v>
      </c>
      <c r="D250" s="23" t="s">
        <v>3</v>
      </c>
      <c r="E250" s="23" t="s">
        <v>4</v>
      </c>
      <c r="F250" s="23" t="s">
        <v>5</v>
      </c>
      <c r="G250" s="190" t="s">
        <v>4</v>
      </c>
      <c r="H250" s="190" t="s">
        <v>4</v>
      </c>
      <c r="I250" s="190" t="s">
        <v>4</v>
      </c>
      <c r="J250" s="190" t="s">
        <v>4</v>
      </c>
      <c r="K250" s="190" t="s">
        <v>4</v>
      </c>
      <c r="L250" s="190" t="s">
        <v>4</v>
      </c>
      <c r="M250" s="190" t="s">
        <v>4</v>
      </c>
      <c r="N250" s="190" t="s">
        <v>4</v>
      </c>
      <c r="O250" s="190" t="s">
        <v>4</v>
      </c>
      <c r="P250" s="190" t="s">
        <v>4</v>
      </c>
      <c r="Q250" s="190" t="s">
        <v>4</v>
      </c>
      <c r="R250" s="190" t="s">
        <v>4</v>
      </c>
      <c r="S250" s="190" t="s">
        <v>4</v>
      </c>
      <c r="T250" s="190" t="s">
        <v>4</v>
      </c>
      <c r="U250" s="190" t="s">
        <v>4</v>
      </c>
      <c r="V250" s="190" t="s">
        <v>4</v>
      </c>
      <c r="W250" s="190" t="s">
        <v>4</v>
      </c>
      <c r="X250" s="190" t="s">
        <v>4</v>
      </c>
      <c r="Y250" s="190" t="s">
        <v>4</v>
      </c>
      <c r="Z250" s="190" t="s">
        <v>4</v>
      </c>
      <c r="AA250" s="190" t="s">
        <v>4</v>
      </c>
      <c r="AB250" s="190" t="s">
        <v>4</v>
      </c>
      <c r="AC250" s="190" t="s">
        <v>4</v>
      </c>
      <c r="AD250" s="190" t="s">
        <v>4</v>
      </c>
      <c r="AE250" s="190" t="s">
        <v>4</v>
      </c>
      <c r="AF250" s="190" t="s">
        <v>4</v>
      </c>
      <c r="AG250" s="190" t="s">
        <v>4</v>
      </c>
      <c r="AH250" s="190" t="s">
        <v>4</v>
      </c>
      <c r="AI250" s="190" t="s">
        <v>4</v>
      </c>
      <c r="AJ250" s="190" t="s">
        <v>4</v>
      </c>
      <c r="AK250" s="190" t="s">
        <v>4</v>
      </c>
      <c r="AL250" s="190" t="s">
        <v>4</v>
      </c>
      <c r="AM250" s="190" t="s">
        <v>4</v>
      </c>
      <c r="AN250" s="190" t="s">
        <v>4</v>
      </c>
      <c r="AO250" s="190" t="s">
        <v>4</v>
      </c>
      <c r="AP250" s="190" t="s">
        <v>4</v>
      </c>
    </row>
    <row r="251" spans="1:42">
      <c r="A251" s="25" t="s">
        <v>109</v>
      </c>
      <c r="B251" s="25" t="s">
        <v>110</v>
      </c>
      <c r="C251" s="25" t="s">
        <v>111</v>
      </c>
      <c r="D251" s="26">
        <v>60</v>
      </c>
      <c r="E251" s="27">
        <v>38</v>
      </c>
      <c r="F251" s="28">
        <v>2280</v>
      </c>
      <c r="G251" s="191"/>
      <c r="H251" s="191"/>
      <c r="I251" s="191">
        <v>19</v>
      </c>
      <c r="J251" s="191">
        <v>19</v>
      </c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  <c r="AD251" s="191"/>
      <c r="AE251" s="191"/>
      <c r="AF251" s="191"/>
      <c r="AG251" s="191"/>
      <c r="AH251" s="191"/>
      <c r="AI251" s="191"/>
      <c r="AJ251" s="191"/>
      <c r="AK251" s="191"/>
      <c r="AL251" s="191"/>
      <c r="AM251" s="191"/>
      <c r="AN251" s="191"/>
      <c r="AO251" s="191"/>
      <c r="AP251" s="191"/>
    </row>
    <row r="252" spans="1:42">
      <c r="A252" s="25" t="s">
        <v>109</v>
      </c>
      <c r="B252" s="25" t="s">
        <v>112</v>
      </c>
      <c r="C252" s="25" t="s">
        <v>113</v>
      </c>
      <c r="D252" s="26">
        <v>0</v>
      </c>
      <c r="E252" s="27">
        <v>5</v>
      </c>
      <c r="F252" s="28">
        <v>0</v>
      </c>
      <c r="G252" s="191">
        <v>1</v>
      </c>
      <c r="H252" s="191">
        <v>4</v>
      </c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  <c r="AA252" s="191"/>
      <c r="AB252" s="191"/>
      <c r="AC252" s="191"/>
      <c r="AD252" s="191"/>
      <c r="AE252" s="191"/>
      <c r="AF252" s="191"/>
      <c r="AG252" s="191"/>
      <c r="AH252" s="191"/>
      <c r="AI252" s="191"/>
      <c r="AJ252" s="191"/>
      <c r="AK252" s="191"/>
      <c r="AL252" s="191"/>
      <c r="AM252" s="191"/>
      <c r="AN252" s="191"/>
      <c r="AO252" s="191"/>
      <c r="AP252" s="191"/>
    </row>
    <row r="253" spans="1:42">
      <c r="A253" s="25" t="s">
        <v>109</v>
      </c>
      <c r="B253" s="25" t="s">
        <v>114</v>
      </c>
      <c r="C253" s="25" t="s">
        <v>115</v>
      </c>
      <c r="D253" s="26">
        <v>50</v>
      </c>
      <c r="E253" s="27">
        <v>38</v>
      </c>
      <c r="F253" s="28">
        <v>1900</v>
      </c>
      <c r="G253" s="191"/>
      <c r="H253" s="191"/>
      <c r="I253" s="191">
        <v>19</v>
      </c>
      <c r="J253" s="191">
        <v>19</v>
      </c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191"/>
      <c r="AJ253" s="191"/>
      <c r="AK253" s="191"/>
      <c r="AL253" s="191"/>
      <c r="AM253" s="191"/>
      <c r="AN253" s="191"/>
      <c r="AO253" s="191"/>
      <c r="AP253" s="191"/>
    </row>
    <row r="254" spans="1:42" ht="19.5">
      <c r="A254" s="233"/>
      <c r="B254" s="216"/>
      <c r="C254" s="216"/>
      <c r="D254" s="216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5"/>
      <c r="Z254" s="235"/>
      <c r="AA254" s="235"/>
      <c r="AB254" s="235"/>
      <c r="AC254" s="235"/>
      <c r="AD254" s="235"/>
      <c r="AE254" s="235"/>
      <c r="AF254" s="188"/>
      <c r="AG254" s="188"/>
      <c r="AH254" s="188"/>
      <c r="AI254" s="188"/>
      <c r="AJ254" s="188"/>
      <c r="AK254" s="188"/>
      <c r="AL254" s="188"/>
      <c r="AM254" s="188"/>
      <c r="AN254" s="188"/>
      <c r="AO254" s="188"/>
      <c r="AP254" s="188"/>
    </row>
    <row r="258" spans="1:42">
      <c r="A258" s="6" t="s">
        <v>213</v>
      </c>
    </row>
    <row r="259" spans="1:42" ht="19.5">
      <c r="A259" s="233" t="s">
        <v>214</v>
      </c>
      <c r="B259" s="216"/>
      <c r="C259" s="216"/>
      <c r="D259" s="216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5"/>
      <c r="Z259" s="235"/>
      <c r="AA259" s="235"/>
      <c r="AB259" s="235"/>
      <c r="AC259" s="235"/>
      <c r="AD259" s="235"/>
      <c r="AE259" s="235"/>
      <c r="AF259" s="192"/>
      <c r="AG259" s="192"/>
      <c r="AH259" s="192"/>
      <c r="AI259" s="192"/>
      <c r="AJ259" s="192"/>
      <c r="AK259" s="192"/>
      <c r="AL259" s="192"/>
      <c r="AM259" s="192"/>
      <c r="AN259" s="192"/>
      <c r="AO259" s="192"/>
      <c r="AP259" s="192"/>
    </row>
    <row r="260" spans="1:42" ht="61.8">
      <c r="A260" s="236" t="s">
        <v>100</v>
      </c>
      <c r="B260" s="237"/>
      <c r="C260" s="238"/>
      <c r="D260" s="239"/>
      <c r="E260" s="20" t="s">
        <v>104</v>
      </c>
      <c r="F260" s="21">
        <v>4020</v>
      </c>
      <c r="G260" s="193" t="s">
        <v>121</v>
      </c>
      <c r="H260" s="193" t="s">
        <v>106</v>
      </c>
      <c r="I260" s="193" t="s">
        <v>107</v>
      </c>
      <c r="J260" s="193" t="s">
        <v>108</v>
      </c>
      <c r="K260" s="193" t="s">
        <v>149</v>
      </c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  <c r="AC260" s="193"/>
      <c r="AD260" s="193"/>
      <c r="AE260" s="193"/>
      <c r="AF260" s="193"/>
      <c r="AG260" s="193"/>
      <c r="AH260" s="193"/>
      <c r="AI260" s="193"/>
      <c r="AJ260" s="193"/>
      <c r="AK260" s="193"/>
      <c r="AL260" s="193"/>
      <c r="AM260" s="193"/>
      <c r="AN260" s="193"/>
      <c r="AO260" s="193"/>
      <c r="AP260" s="193"/>
    </row>
    <row r="261" spans="1:42">
      <c r="A261" s="23" t="s">
        <v>0</v>
      </c>
      <c r="B261" s="23" t="s">
        <v>1</v>
      </c>
      <c r="C261" s="23" t="s">
        <v>2</v>
      </c>
      <c r="D261" s="23" t="s">
        <v>3</v>
      </c>
      <c r="E261" s="23" t="s">
        <v>4</v>
      </c>
      <c r="F261" s="23" t="s">
        <v>5</v>
      </c>
      <c r="G261" s="194" t="s">
        <v>4</v>
      </c>
      <c r="H261" s="194" t="s">
        <v>4</v>
      </c>
      <c r="I261" s="194" t="s">
        <v>4</v>
      </c>
      <c r="J261" s="194" t="s">
        <v>4</v>
      </c>
      <c r="K261" s="194" t="s">
        <v>4</v>
      </c>
      <c r="L261" s="194" t="s">
        <v>4</v>
      </c>
      <c r="M261" s="194" t="s">
        <v>4</v>
      </c>
      <c r="N261" s="194" t="s">
        <v>4</v>
      </c>
      <c r="O261" s="194" t="s">
        <v>4</v>
      </c>
      <c r="P261" s="194" t="s">
        <v>4</v>
      </c>
      <c r="Q261" s="194" t="s">
        <v>4</v>
      </c>
      <c r="R261" s="194" t="s">
        <v>4</v>
      </c>
      <c r="S261" s="194" t="s">
        <v>4</v>
      </c>
      <c r="T261" s="194" t="s">
        <v>4</v>
      </c>
      <c r="U261" s="194" t="s">
        <v>4</v>
      </c>
      <c r="V261" s="194" t="s">
        <v>4</v>
      </c>
      <c r="W261" s="194" t="s">
        <v>4</v>
      </c>
      <c r="X261" s="194" t="s">
        <v>4</v>
      </c>
      <c r="Y261" s="194" t="s">
        <v>4</v>
      </c>
      <c r="Z261" s="194" t="s">
        <v>4</v>
      </c>
      <c r="AA261" s="194" t="s">
        <v>4</v>
      </c>
      <c r="AB261" s="194" t="s">
        <v>4</v>
      </c>
      <c r="AC261" s="194" t="s">
        <v>4</v>
      </c>
      <c r="AD261" s="194" t="s">
        <v>4</v>
      </c>
      <c r="AE261" s="194" t="s">
        <v>4</v>
      </c>
      <c r="AF261" s="194" t="s">
        <v>4</v>
      </c>
      <c r="AG261" s="194" t="s">
        <v>4</v>
      </c>
      <c r="AH261" s="194" t="s">
        <v>4</v>
      </c>
      <c r="AI261" s="194" t="s">
        <v>4</v>
      </c>
      <c r="AJ261" s="194" t="s">
        <v>4</v>
      </c>
      <c r="AK261" s="194" t="s">
        <v>4</v>
      </c>
      <c r="AL261" s="194" t="s">
        <v>4</v>
      </c>
      <c r="AM261" s="194" t="s">
        <v>4</v>
      </c>
      <c r="AN261" s="194" t="s">
        <v>4</v>
      </c>
      <c r="AO261" s="194" t="s">
        <v>4</v>
      </c>
      <c r="AP261" s="194" t="s">
        <v>4</v>
      </c>
    </row>
    <row r="262" spans="1:42">
      <c r="A262" s="25" t="s">
        <v>109</v>
      </c>
      <c r="B262" s="25" t="s">
        <v>110</v>
      </c>
      <c r="C262" s="25" t="s">
        <v>111</v>
      </c>
      <c r="D262" s="26">
        <v>60</v>
      </c>
      <c r="E262" s="27">
        <v>37</v>
      </c>
      <c r="F262" s="28">
        <v>2220</v>
      </c>
      <c r="G262" s="195">
        <v>1</v>
      </c>
      <c r="H262" s="195"/>
      <c r="I262" s="195"/>
      <c r="J262" s="195">
        <v>14</v>
      </c>
      <c r="K262" s="195">
        <v>22</v>
      </c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</row>
    <row r="263" spans="1:42">
      <c r="A263" s="25" t="s">
        <v>109</v>
      </c>
      <c r="B263" s="25" t="s">
        <v>112</v>
      </c>
      <c r="C263" s="25" t="s">
        <v>113</v>
      </c>
      <c r="D263" s="26">
        <v>0</v>
      </c>
      <c r="E263" s="27">
        <v>6</v>
      </c>
      <c r="F263" s="28">
        <v>0</v>
      </c>
      <c r="G263" s="195"/>
      <c r="H263" s="195">
        <v>1</v>
      </c>
      <c r="I263" s="195">
        <v>2</v>
      </c>
      <c r="J263" s="195">
        <v>1</v>
      </c>
      <c r="K263" s="195">
        <v>2</v>
      </c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195"/>
    </row>
    <row r="264" spans="1:42">
      <c r="A264" s="25" t="s">
        <v>109</v>
      </c>
      <c r="B264" s="25" t="s">
        <v>114</v>
      </c>
      <c r="C264" s="25" t="s">
        <v>115</v>
      </c>
      <c r="D264" s="26">
        <v>50</v>
      </c>
      <c r="E264" s="27">
        <v>36</v>
      </c>
      <c r="F264" s="28">
        <v>1800</v>
      </c>
      <c r="G264" s="195"/>
      <c r="H264" s="195"/>
      <c r="I264" s="195"/>
      <c r="J264" s="195">
        <v>14</v>
      </c>
      <c r="K264" s="195">
        <v>22</v>
      </c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195"/>
    </row>
    <row r="265" spans="1:42" ht="19.5">
      <c r="A265" s="233"/>
      <c r="B265" s="216"/>
      <c r="C265" s="216"/>
      <c r="D265" s="216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5"/>
      <c r="Z265" s="235"/>
      <c r="AA265" s="235"/>
      <c r="AB265" s="235"/>
      <c r="AC265" s="235"/>
      <c r="AD265" s="235"/>
      <c r="AE265" s="235"/>
      <c r="AF265" s="192"/>
      <c r="AG265" s="192"/>
      <c r="AH265" s="192"/>
      <c r="AI265" s="192"/>
      <c r="AJ265" s="192"/>
      <c r="AK265" s="192"/>
      <c r="AL265" s="192"/>
      <c r="AM265" s="192"/>
      <c r="AN265" s="192"/>
      <c r="AO265" s="192"/>
      <c r="AP265" s="192"/>
    </row>
    <row r="269" spans="1:42">
      <c r="A269" s="6" t="s">
        <v>213</v>
      </c>
    </row>
    <row r="270" spans="1:42" ht="19.5">
      <c r="A270" s="233" t="s">
        <v>215</v>
      </c>
      <c r="B270" s="216"/>
      <c r="C270" s="216"/>
      <c r="D270" s="216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5"/>
      <c r="Z270" s="235"/>
      <c r="AA270" s="235"/>
      <c r="AB270" s="235"/>
      <c r="AC270" s="235"/>
      <c r="AD270" s="235"/>
      <c r="AE270" s="235"/>
      <c r="AF270" s="196"/>
      <c r="AG270" s="196"/>
      <c r="AH270" s="196"/>
      <c r="AI270" s="196"/>
      <c r="AJ270" s="196"/>
      <c r="AK270" s="196"/>
      <c r="AL270" s="196"/>
      <c r="AM270" s="196"/>
      <c r="AN270" s="196"/>
      <c r="AO270" s="196"/>
      <c r="AP270" s="196"/>
    </row>
    <row r="271" spans="1:42" ht="61.8">
      <c r="A271" s="236" t="s">
        <v>100</v>
      </c>
      <c r="B271" s="237"/>
      <c r="C271" s="238"/>
      <c r="D271" s="239"/>
      <c r="E271" s="20" t="s">
        <v>104</v>
      </c>
      <c r="F271" s="21">
        <v>3453</v>
      </c>
      <c r="G271" s="197" t="s">
        <v>121</v>
      </c>
      <c r="H271" s="197" t="s">
        <v>106</v>
      </c>
      <c r="I271" s="197" t="s">
        <v>107</v>
      </c>
      <c r="J271" s="197" t="s">
        <v>108</v>
      </c>
      <c r="K271" s="197" t="s">
        <v>149</v>
      </c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197"/>
      <c r="Y271" s="197"/>
      <c r="Z271" s="197"/>
      <c r="AA271" s="197"/>
      <c r="AB271" s="197"/>
      <c r="AC271" s="197"/>
      <c r="AD271" s="197"/>
      <c r="AE271" s="197"/>
      <c r="AF271" s="197"/>
      <c r="AG271" s="197"/>
      <c r="AH271" s="197"/>
      <c r="AI271" s="197"/>
      <c r="AJ271" s="197"/>
      <c r="AK271" s="197"/>
      <c r="AL271" s="197"/>
      <c r="AM271" s="197"/>
      <c r="AN271" s="197"/>
      <c r="AO271" s="197"/>
      <c r="AP271" s="197"/>
    </row>
    <row r="272" spans="1:42">
      <c r="A272" s="23" t="s">
        <v>0</v>
      </c>
      <c r="B272" s="23" t="s">
        <v>1</v>
      </c>
      <c r="C272" s="23" t="s">
        <v>2</v>
      </c>
      <c r="D272" s="23" t="s">
        <v>3</v>
      </c>
      <c r="E272" s="23" t="s">
        <v>4</v>
      </c>
      <c r="F272" s="23" t="s">
        <v>5</v>
      </c>
      <c r="G272" s="198" t="s">
        <v>4</v>
      </c>
      <c r="H272" s="198" t="s">
        <v>4</v>
      </c>
      <c r="I272" s="198" t="s">
        <v>4</v>
      </c>
      <c r="J272" s="198" t="s">
        <v>4</v>
      </c>
      <c r="K272" s="198" t="s">
        <v>4</v>
      </c>
      <c r="L272" s="198" t="s">
        <v>4</v>
      </c>
      <c r="M272" s="198" t="s">
        <v>4</v>
      </c>
      <c r="N272" s="198" t="s">
        <v>4</v>
      </c>
      <c r="O272" s="198" t="s">
        <v>4</v>
      </c>
      <c r="P272" s="198" t="s">
        <v>4</v>
      </c>
      <c r="Q272" s="198" t="s">
        <v>4</v>
      </c>
      <c r="R272" s="198" t="s">
        <v>4</v>
      </c>
      <c r="S272" s="198" t="s">
        <v>4</v>
      </c>
      <c r="T272" s="198" t="s">
        <v>4</v>
      </c>
      <c r="U272" s="198" t="s">
        <v>4</v>
      </c>
      <c r="V272" s="198" t="s">
        <v>4</v>
      </c>
      <c r="W272" s="198" t="s">
        <v>4</v>
      </c>
      <c r="X272" s="198" t="s">
        <v>4</v>
      </c>
      <c r="Y272" s="198" t="s">
        <v>4</v>
      </c>
      <c r="Z272" s="198" t="s">
        <v>4</v>
      </c>
      <c r="AA272" s="198" t="s">
        <v>4</v>
      </c>
      <c r="AB272" s="198" t="s">
        <v>4</v>
      </c>
      <c r="AC272" s="198" t="s">
        <v>4</v>
      </c>
      <c r="AD272" s="198" t="s">
        <v>4</v>
      </c>
      <c r="AE272" s="198" t="s">
        <v>4</v>
      </c>
      <c r="AF272" s="198" t="s">
        <v>4</v>
      </c>
      <c r="AG272" s="198" t="s">
        <v>4</v>
      </c>
      <c r="AH272" s="198" t="s">
        <v>4</v>
      </c>
      <c r="AI272" s="198" t="s">
        <v>4</v>
      </c>
      <c r="AJ272" s="198" t="s">
        <v>4</v>
      </c>
      <c r="AK272" s="198" t="s">
        <v>4</v>
      </c>
      <c r="AL272" s="198" t="s">
        <v>4</v>
      </c>
      <c r="AM272" s="198" t="s">
        <v>4</v>
      </c>
      <c r="AN272" s="198" t="s">
        <v>4</v>
      </c>
      <c r="AO272" s="198" t="s">
        <v>4</v>
      </c>
      <c r="AP272" s="198" t="s">
        <v>4</v>
      </c>
    </row>
    <row r="273" spans="1:42">
      <c r="A273" s="25" t="s">
        <v>109</v>
      </c>
      <c r="B273" s="25" t="s">
        <v>110</v>
      </c>
      <c r="C273" s="25" t="s">
        <v>111</v>
      </c>
      <c r="D273" s="26">
        <v>60</v>
      </c>
      <c r="E273" s="27">
        <v>32.299999999999997</v>
      </c>
      <c r="F273" s="28">
        <v>1937.9999999999998</v>
      </c>
      <c r="G273" s="199">
        <v>2</v>
      </c>
      <c r="H273" s="199"/>
      <c r="I273" s="199"/>
      <c r="J273" s="199">
        <v>10</v>
      </c>
      <c r="K273" s="199">
        <v>20.3</v>
      </c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  <c r="AB273" s="199"/>
      <c r="AC273" s="199"/>
      <c r="AD273" s="199"/>
      <c r="AE273" s="199"/>
      <c r="AF273" s="199"/>
      <c r="AG273" s="199"/>
      <c r="AH273" s="199"/>
      <c r="AI273" s="199"/>
      <c r="AJ273" s="199"/>
      <c r="AK273" s="199"/>
      <c r="AL273" s="199"/>
      <c r="AM273" s="199"/>
      <c r="AN273" s="199"/>
      <c r="AO273" s="199"/>
      <c r="AP273" s="199"/>
    </row>
    <row r="274" spans="1:42">
      <c r="A274" s="25" t="s">
        <v>109</v>
      </c>
      <c r="B274" s="25" t="s">
        <v>112</v>
      </c>
      <c r="C274" s="25" t="s">
        <v>113</v>
      </c>
      <c r="D274" s="26">
        <v>0</v>
      </c>
      <c r="E274" s="27">
        <v>1</v>
      </c>
      <c r="F274" s="28">
        <v>0</v>
      </c>
      <c r="G274" s="199"/>
      <c r="H274" s="199"/>
      <c r="I274" s="199">
        <v>1</v>
      </c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  <c r="AA274" s="199"/>
      <c r="AB274" s="199"/>
      <c r="AC274" s="199"/>
      <c r="AD274" s="199"/>
      <c r="AE274" s="199"/>
      <c r="AF274" s="199"/>
      <c r="AG274" s="199"/>
      <c r="AH274" s="199"/>
      <c r="AI274" s="199"/>
      <c r="AJ274" s="199"/>
      <c r="AK274" s="199"/>
      <c r="AL274" s="199"/>
      <c r="AM274" s="199"/>
      <c r="AN274" s="199"/>
      <c r="AO274" s="199"/>
      <c r="AP274" s="199"/>
    </row>
    <row r="275" spans="1:42">
      <c r="A275" s="25" t="s">
        <v>109</v>
      </c>
      <c r="B275" s="25" t="s">
        <v>114</v>
      </c>
      <c r="C275" s="25" t="s">
        <v>115</v>
      </c>
      <c r="D275" s="26">
        <v>50</v>
      </c>
      <c r="E275" s="27">
        <v>30.3</v>
      </c>
      <c r="F275" s="28">
        <v>1515</v>
      </c>
      <c r="G275" s="199"/>
      <c r="H275" s="199"/>
      <c r="I275" s="199"/>
      <c r="J275" s="199">
        <v>10</v>
      </c>
      <c r="K275" s="199">
        <v>20.3</v>
      </c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</row>
    <row r="276" spans="1:42" ht="19.5">
      <c r="A276" s="233"/>
      <c r="B276" s="216"/>
      <c r="C276" s="216"/>
      <c r="D276" s="216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5"/>
      <c r="Z276" s="235"/>
      <c r="AA276" s="235"/>
      <c r="AB276" s="235"/>
      <c r="AC276" s="235"/>
      <c r="AD276" s="235"/>
      <c r="AE276" s="235"/>
      <c r="AF276" s="196"/>
      <c r="AG276" s="196"/>
      <c r="AH276" s="196"/>
      <c r="AI276" s="196"/>
      <c r="AJ276" s="196"/>
      <c r="AK276" s="196"/>
      <c r="AL276" s="196"/>
      <c r="AM276" s="196"/>
      <c r="AN276" s="196"/>
      <c r="AO276" s="196"/>
      <c r="AP276" s="196"/>
    </row>
    <row r="277" spans="1:42" ht="18.3">
      <c r="A277" s="110" t="s">
        <v>216</v>
      </c>
      <c r="B277" s="110"/>
      <c r="C277" s="111">
        <f>F249</f>
        <v>4180</v>
      </c>
    </row>
    <row r="278" spans="1:42" ht="18.3">
      <c r="A278" s="126">
        <f>SUM(C277:C279)</f>
        <v>11653</v>
      </c>
      <c r="B278" s="110"/>
      <c r="C278" s="111">
        <f>F260</f>
        <v>4020</v>
      </c>
    </row>
    <row r="279" spans="1:42" ht="18.3">
      <c r="A279" s="110"/>
      <c r="B279" s="110"/>
      <c r="C279" s="111">
        <f>F271</f>
        <v>3453</v>
      </c>
    </row>
    <row r="283" spans="1:42">
      <c r="A283" s="6" t="s">
        <v>232</v>
      </c>
    </row>
    <row r="284" spans="1:42" ht="19.5">
      <c r="A284" s="233" t="s">
        <v>231</v>
      </c>
      <c r="B284" s="216"/>
      <c r="C284" s="216"/>
      <c r="D284" s="216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5"/>
      <c r="Z284" s="235"/>
      <c r="AA284" s="235"/>
      <c r="AB284" s="235"/>
      <c r="AC284" s="235"/>
      <c r="AD284" s="235"/>
      <c r="AE284" s="235"/>
      <c r="AF284" s="202"/>
      <c r="AG284" s="202"/>
      <c r="AH284" s="202"/>
      <c r="AI284" s="202"/>
      <c r="AJ284" s="202"/>
      <c r="AK284" s="202"/>
      <c r="AL284" s="202"/>
      <c r="AM284" s="202"/>
      <c r="AN284" s="202"/>
      <c r="AO284" s="202"/>
      <c r="AP284" s="202"/>
    </row>
    <row r="285" spans="1:42" ht="46.5">
      <c r="A285" s="236" t="s">
        <v>100</v>
      </c>
      <c r="B285" s="237"/>
      <c r="C285" s="238"/>
      <c r="D285" s="239"/>
      <c r="E285" s="20" t="s">
        <v>104</v>
      </c>
      <c r="F285" s="21">
        <v>2071.5</v>
      </c>
      <c r="G285" s="203" t="s">
        <v>107</v>
      </c>
      <c r="H285" s="203" t="s">
        <v>149</v>
      </c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  <c r="AA285" s="203"/>
      <c r="AB285" s="203"/>
      <c r="AC285" s="203"/>
      <c r="AD285" s="203"/>
      <c r="AE285" s="203"/>
      <c r="AF285" s="203"/>
      <c r="AG285" s="203"/>
      <c r="AH285" s="203"/>
      <c r="AI285" s="203"/>
      <c r="AJ285" s="203"/>
      <c r="AK285" s="203"/>
      <c r="AL285" s="203"/>
      <c r="AM285" s="203"/>
      <c r="AN285" s="203"/>
      <c r="AO285" s="203"/>
      <c r="AP285" s="203"/>
    </row>
    <row r="286" spans="1:42">
      <c r="A286" s="23" t="s">
        <v>0</v>
      </c>
      <c r="B286" s="23" t="s">
        <v>1</v>
      </c>
      <c r="C286" s="23" t="s">
        <v>2</v>
      </c>
      <c r="D286" s="23" t="s">
        <v>3</v>
      </c>
      <c r="E286" s="23" t="s">
        <v>4</v>
      </c>
      <c r="F286" s="23" t="s">
        <v>5</v>
      </c>
      <c r="G286" s="204" t="s">
        <v>4</v>
      </c>
      <c r="H286" s="204" t="s">
        <v>4</v>
      </c>
      <c r="I286" s="204" t="s">
        <v>4</v>
      </c>
      <c r="J286" s="204" t="s">
        <v>4</v>
      </c>
      <c r="K286" s="204" t="s">
        <v>4</v>
      </c>
      <c r="L286" s="204" t="s">
        <v>4</v>
      </c>
      <c r="M286" s="204" t="s">
        <v>4</v>
      </c>
      <c r="N286" s="204" t="s">
        <v>4</v>
      </c>
      <c r="O286" s="204" t="s">
        <v>4</v>
      </c>
      <c r="P286" s="204" t="s">
        <v>4</v>
      </c>
      <c r="Q286" s="204" t="s">
        <v>4</v>
      </c>
      <c r="R286" s="204" t="s">
        <v>4</v>
      </c>
      <c r="S286" s="204" t="s">
        <v>4</v>
      </c>
      <c r="T286" s="204" t="s">
        <v>4</v>
      </c>
      <c r="U286" s="204" t="s">
        <v>4</v>
      </c>
      <c r="V286" s="204" t="s">
        <v>4</v>
      </c>
      <c r="W286" s="204" t="s">
        <v>4</v>
      </c>
      <c r="X286" s="204" t="s">
        <v>4</v>
      </c>
      <c r="Y286" s="204" t="s">
        <v>4</v>
      </c>
      <c r="Z286" s="204" t="s">
        <v>4</v>
      </c>
      <c r="AA286" s="204" t="s">
        <v>4</v>
      </c>
      <c r="AB286" s="204" t="s">
        <v>4</v>
      </c>
      <c r="AC286" s="204" t="s">
        <v>4</v>
      </c>
      <c r="AD286" s="204" t="s">
        <v>4</v>
      </c>
      <c r="AE286" s="204" t="s">
        <v>4</v>
      </c>
      <c r="AF286" s="204" t="s">
        <v>4</v>
      </c>
      <c r="AG286" s="204" t="s">
        <v>4</v>
      </c>
      <c r="AH286" s="204" t="s">
        <v>4</v>
      </c>
      <c r="AI286" s="204" t="s">
        <v>4</v>
      </c>
      <c r="AJ286" s="204" t="s">
        <v>4</v>
      </c>
      <c r="AK286" s="204" t="s">
        <v>4</v>
      </c>
      <c r="AL286" s="204" t="s">
        <v>4</v>
      </c>
      <c r="AM286" s="204" t="s">
        <v>4</v>
      </c>
      <c r="AN286" s="204" t="s">
        <v>4</v>
      </c>
      <c r="AO286" s="204" t="s">
        <v>4</v>
      </c>
      <c r="AP286" s="204" t="s">
        <v>4</v>
      </c>
    </row>
    <row r="287" spans="1:42">
      <c r="A287" s="25" t="s">
        <v>109</v>
      </c>
      <c r="B287" s="25" t="s">
        <v>110</v>
      </c>
      <c r="C287" s="25" t="s">
        <v>111</v>
      </c>
      <c r="D287" s="26">
        <v>60</v>
      </c>
      <c r="E287" s="27">
        <v>18.45</v>
      </c>
      <c r="F287" s="28">
        <v>1107</v>
      </c>
      <c r="G287" s="205"/>
      <c r="H287" s="205">
        <v>18.45</v>
      </c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  <c r="AH287" s="205"/>
      <c r="AI287" s="205"/>
      <c r="AJ287" s="205"/>
      <c r="AK287" s="205"/>
      <c r="AL287" s="205"/>
      <c r="AM287" s="205"/>
      <c r="AN287" s="205"/>
      <c r="AO287" s="205"/>
      <c r="AP287" s="205"/>
    </row>
    <row r="288" spans="1:42">
      <c r="A288" s="25" t="s">
        <v>109</v>
      </c>
      <c r="B288" s="25" t="s">
        <v>112</v>
      </c>
      <c r="C288" s="25" t="s">
        <v>113</v>
      </c>
      <c r="D288" s="26">
        <v>0</v>
      </c>
      <c r="E288" s="27">
        <v>3</v>
      </c>
      <c r="F288" s="28">
        <v>0</v>
      </c>
      <c r="G288" s="205">
        <v>3</v>
      </c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  <c r="AH288" s="205"/>
      <c r="AI288" s="205"/>
      <c r="AJ288" s="205"/>
      <c r="AK288" s="205"/>
      <c r="AL288" s="205"/>
      <c r="AM288" s="205"/>
      <c r="AN288" s="205"/>
      <c r="AO288" s="205"/>
      <c r="AP288" s="205"/>
    </row>
    <row r="289" spans="1:42">
      <c r="A289" s="25" t="s">
        <v>109</v>
      </c>
      <c r="B289" s="25" t="s">
        <v>114</v>
      </c>
      <c r="C289" s="25" t="s">
        <v>115</v>
      </c>
      <c r="D289" s="26">
        <v>50</v>
      </c>
      <c r="E289" s="27">
        <v>19.29</v>
      </c>
      <c r="F289" s="28">
        <v>964.5</v>
      </c>
      <c r="G289" s="205"/>
      <c r="H289" s="205">
        <v>19.29</v>
      </c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  <c r="AH289" s="205"/>
      <c r="AI289" s="205"/>
      <c r="AJ289" s="205"/>
      <c r="AK289" s="205"/>
      <c r="AL289" s="205"/>
      <c r="AM289" s="205"/>
      <c r="AN289" s="205"/>
      <c r="AO289" s="205"/>
      <c r="AP289" s="205"/>
    </row>
    <row r="290" spans="1:42" ht="19.5">
      <c r="A290" s="233"/>
      <c r="B290" s="216"/>
      <c r="C290" s="216"/>
      <c r="D290" s="216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5"/>
      <c r="Z290" s="235"/>
      <c r="AA290" s="235"/>
      <c r="AB290" s="235"/>
      <c r="AC290" s="235"/>
      <c r="AD290" s="235"/>
      <c r="AE290" s="235"/>
      <c r="AF290" s="202"/>
      <c r="AG290" s="202"/>
      <c r="AH290" s="202"/>
      <c r="AI290" s="202"/>
      <c r="AJ290" s="202"/>
      <c r="AK290" s="202"/>
      <c r="AL290" s="202"/>
      <c r="AM290" s="202"/>
      <c r="AN290" s="202"/>
      <c r="AO290" s="202"/>
      <c r="AP290" s="202"/>
    </row>
    <row r="294" spans="1:42">
      <c r="A294" s="6" t="s">
        <v>232</v>
      </c>
    </row>
    <row r="295" spans="1:42" ht="19.5">
      <c r="A295" s="233" t="s">
        <v>233</v>
      </c>
      <c r="B295" s="216"/>
      <c r="C295" s="216"/>
      <c r="D295" s="216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5"/>
      <c r="Z295" s="235"/>
      <c r="AA295" s="235"/>
      <c r="AB295" s="235"/>
      <c r="AC295" s="235"/>
      <c r="AD295" s="235"/>
      <c r="AE295" s="235"/>
      <c r="AF295" s="206"/>
      <c r="AG295" s="206"/>
      <c r="AH295" s="206"/>
      <c r="AI295" s="206"/>
      <c r="AJ295" s="206"/>
      <c r="AK295" s="206"/>
      <c r="AL295" s="206"/>
      <c r="AM295" s="206"/>
      <c r="AN295" s="206"/>
      <c r="AO295" s="206"/>
      <c r="AP295" s="206"/>
    </row>
    <row r="296" spans="1:42" ht="46.5">
      <c r="A296" s="236" t="s">
        <v>100</v>
      </c>
      <c r="B296" s="237"/>
      <c r="C296" s="238"/>
      <c r="D296" s="239"/>
      <c r="E296" s="20" t="s">
        <v>104</v>
      </c>
      <c r="F296" s="21">
        <v>2118.6000000000004</v>
      </c>
      <c r="G296" s="207" t="s">
        <v>107</v>
      </c>
      <c r="H296" s="207" t="s">
        <v>149</v>
      </c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7"/>
      <c r="AD296" s="207"/>
      <c r="AE296" s="207"/>
      <c r="AF296" s="207"/>
      <c r="AG296" s="207"/>
      <c r="AH296" s="207"/>
      <c r="AI296" s="207"/>
      <c r="AJ296" s="207"/>
      <c r="AK296" s="207"/>
      <c r="AL296" s="207"/>
      <c r="AM296" s="207"/>
      <c r="AN296" s="207"/>
      <c r="AO296" s="207"/>
      <c r="AP296" s="207"/>
    </row>
    <row r="297" spans="1:42">
      <c r="A297" s="23" t="s">
        <v>0</v>
      </c>
      <c r="B297" s="23" t="s">
        <v>1</v>
      </c>
      <c r="C297" s="23" t="s">
        <v>2</v>
      </c>
      <c r="D297" s="23" t="s">
        <v>3</v>
      </c>
      <c r="E297" s="23" t="s">
        <v>4</v>
      </c>
      <c r="F297" s="23" t="s">
        <v>5</v>
      </c>
      <c r="G297" s="208" t="s">
        <v>4</v>
      </c>
      <c r="H297" s="208" t="s">
        <v>4</v>
      </c>
      <c r="I297" s="208" t="s">
        <v>4</v>
      </c>
      <c r="J297" s="208" t="s">
        <v>4</v>
      </c>
      <c r="K297" s="208" t="s">
        <v>4</v>
      </c>
      <c r="L297" s="208" t="s">
        <v>4</v>
      </c>
      <c r="M297" s="208" t="s">
        <v>4</v>
      </c>
      <c r="N297" s="208" t="s">
        <v>4</v>
      </c>
      <c r="O297" s="208" t="s">
        <v>4</v>
      </c>
      <c r="P297" s="208" t="s">
        <v>4</v>
      </c>
      <c r="Q297" s="208" t="s">
        <v>4</v>
      </c>
      <c r="R297" s="208" t="s">
        <v>4</v>
      </c>
      <c r="S297" s="208" t="s">
        <v>4</v>
      </c>
      <c r="T297" s="208" t="s">
        <v>4</v>
      </c>
      <c r="U297" s="208" t="s">
        <v>4</v>
      </c>
      <c r="V297" s="208" t="s">
        <v>4</v>
      </c>
      <c r="W297" s="208" t="s">
        <v>4</v>
      </c>
      <c r="X297" s="208" t="s">
        <v>4</v>
      </c>
      <c r="Y297" s="208" t="s">
        <v>4</v>
      </c>
      <c r="Z297" s="208" t="s">
        <v>4</v>
      </c>
      <c r="AA297" s="208" t="s">
        <v>4</v>
      </c>
      <c r="AB297" s="208" t="s">
        <v>4</v>
      </c>
      <c r="AC297" s="208" t="s">
        <v>4</v>
      </c>
      <c r="AD297" s="208" t="s">
        <v>4</v>
      </c>
      <c r="AE297" s="208" t="s">
        <v>4</v>
      </c>
      <c r="AF297" s="208" t="s">
        <v>4</v>
      </c>
      <c r="AG297" s="208" t="s">
        <v>4</v>
      </c>
      <c r="AH297" s="208" t="s">
        <v>4</v>
      </c>
      <c r="AI297" s="208" t="s">
        <v>4</v>
      </c>
      <c r="AJ297" s="208" t="s">
        <v>4</v>
      </c>
      <c r="AK297" s="208" t="s">
        <v>4</v>
      </c>
      <c r="AL297" s="208" t="s">
        <v>4</v>
      </c>
      <c r="AM297" s="208" t="s">
        <v>4</v>
      </c>
      <c r="AN297" s="208" t="s">
        <v>4</v>
      </c>
      <c r="AO297" s="208" t="s">
        <v>4</v>
      </c>
      <c r="AP297" s="208" t="s">
        <v>4</v>
      </c>
    </row>
    <row r="298" spans="1:42">
      <c r="A298" s="25" t="s">
        <v>109</v>
      </c>
      <c r="B298" s="25" t="s">
        <v>110</v>
      </c>
      <c r="C298" s="25" t="s">
        <v>111</v>
      </c>
      <c r="D298" s="26">
        <v>60</v>
      </c>
      <c r="E298" s="27">
        <v>19.260000000000002</v>
      </c>
      <c r="F298" s="28">
        <v>1155.6000000000001</v>
      </c>
      <c r="G298" s="209"/>
      <c r="H298" s="209">
        <v>19.260000000000002</v>
      </c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</row>
    <row r="299" spans="1:42">
      <c r="A299" s="25" t="s">
        <v>109</v>
      </c>
      <c r="B299" s="25" t="s">
        <v>112</v>
      </c>
      <c r="C299" s="25" t="s">
        <v>113</v>
      </c>
      <c r="D299" s="26">
        <v>0</v>
      </c>
      <c r="E299" s="27">
        <v>2</v>
      </c>
      <c r="F299" s="28">
        <v>0</v>
      </c>
      <c r="G299" s="209">
        <v>2</v>
      </c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</row>
    <row r="300" spans="1:42">
      <c r="A300" s="25" t="s">
        <v>109</v>
      </c>
      <c r="B300" s="25" t="s">
        <v>114</v>
      </c>
      <c r="C300" s="25" t="s">
        <v>115</v>
      </c>
      <c r="D300" s="26">
        <v>50</v>
      </c>
      <c r="E300" s="27">
        <v>19.260000000000002</v>
      </c>
      <c r="F300" s="28">
        <v>963.00000000000011</v>
      </c>
      <c r="G300" s="209"/>
      <c r="H300" s="209">
        <v>19.260000000000002</v>
      </c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</row>
    <row r="301" spans="1:42" ht="19.5">
      <c r="A301" s="233"/>
      <c r="B301" s="216"/>
      <c r="C301" s="216"/>
      <c r="D301" s="216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5"/>
      <c r="Z301" s="235"/>
      <c r="AA301" s="235"/>
      <c r="AB301" s="235"/>
      <c r="AC301" s="235"/>
      <c r="AD301" s="235"/>
      <c r="AE301" s="235"/>
      <c r="AF301" s="206"/>
      <c r="AG301" s="206"/>
      <c r="AH301" s="206"/>
      <c r="AI301" s="206"/>
      <c r="AJ301" s="206"/>
      <c r="AK301" s="206"/>
      <c r="AL301" s="206"/>
      <c r="AM301" s="206"/>
      <c r="AN301" s="206"/>
      <c r="AO301" s="206"/>
      <c r="AP301" s="206"/>
    </row>
    <row r="305" spans="1:42">
      <c r="A305" s="6" t="s">
        <v>246</v>
      </c>
    </row>
    <row r="306" spans="1:42" ht="19.5">
      <c r="A306" s="233" t="s">
        <v>234</v>
      </c>
      <c r="B306" s="216"/>
      <c r="C306" s="216"/>
      <c r="D306" s="216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5"/>
      <c r="Z306" s="235"/>
      <c r="AA306" s="235"/>
      <c r="AB306" s="235"/>
      <c r="AC306" s="235"/>
      <c r="AD306" s="235"/>
      <c r="AE306" s="235"/>
      <c r="AF306" s="210"/>
      <c r="AG306" s="210"/>
      <c r="AH306" s="210"/>
      <c r="AI306" s="210"/>
      <c r="AJ306" s="210"/>
      <c r="AK306" s="210"/>
      <c r="AL306" s="210"/>
      <c r="AM306" s="210"/>
      <c r="AN306" s="210"/>
      <c r="AO306" s="210"/>
      <c r="AP306" s="210"/>
    </row>
    <row r="307" spans="1:42" ht="46.5">
      <c r="A307" s="236" t="s">
        <v>100</v>
      </c>
      <c r="B307" s="237"/>
      <c r="C307" s="238"/>
      <c r="D307" s="239"/>
      <c r="E307" s="20" t="s">
        <v>104</v>
      </c>
      <c r="F307" s="21">
        <v>2420</v>
      </c>
      <c r="G307" s="211" t="s">
        <v>235</v>
      </c>
      <c r="H307" s="211" t="s">
        <v>107</v>
      </c>
      <c r="I307" s="211" t="s">
        <v>149</v>
      </c>
      <c r="J307" s="211"/>
      <c r="K307" s="211"/>
      <c r="L307" s="211"/>
      <c r="M307" s="211"/>
      <c r="N307" s="211"/>
      <c r="O307" s="211"/>
      <c r="P307" s="211"/>
      <c r="Q307" s="211"/>
      <c r="R307" s="211"/>
      <c r="S307" s="211"/>
      <c r="T307" s="211"/>
      <c r="U307" s="211"/>
      <c r="V307" s="211"/>
      <c r="W307" s="211"/>
      <c r="X307" s="211"/>
      <c r="Y307" s="211"/>
      <c r="Z307" s="211"/>
      <c r="AA307" s="211"/>
      <c r="AB307" s="211"/>
      <c r="AC307" s="211"/>
      <c r="AD307" s="211"/>
      <c r="AE307" s="211"/>
      <c r="AF307" s="211"/>
      <c r="AG307" s="211"/>
      <c r="AH307" s="211"/>
      <c r="AI307" s="211"/>
      <c r="AJ307" s="211"/>
      <c r="AK307" s="211"/>
      <c r="AL307" s="211"/>
      <c r="AM307" s="211"/>
      <c r="AN307" s="211"/>
      <c r="AO307" s="211"/>
      <c r="AP307" s="211"/>
    </row>
    <row r="308" spans="1:42">
      <c r="A308" s="23" t="s">
        <v>0</v>
      </c>
      <c r="B308" s="23" t="s">
        <v>1</v>
      </c>
      <c r="C308" s="23" t="s">
        <v>2</v>
      </c>
      <c r="D308" s="23" t="s">
        <v>3</v>
      </c>
      <c r="E308" s="23" t="s">
        <v>4</v>
      </c>
      <c r="F308" s="23" t="s">
        <v>5</v>
      </c>
      <c r="G308" s="212" t="s">
        <v>4</v>
      </c>
      <c r="H308" s="212" t="s">
        <v>4</v>
      </c>
      <c r="I308" s="212" t="s">
        <v>4</v>
      </c>
      <c r="J308" s="212" t="s">
        <v>4</v>
      </c>
      <c r="K308" s="212" t="s">
        <v>4</v>
      </c>
      <c r="L308" s="212" t="s">
        <v>4</v>
      </c>
      <c r="M308" s="212" t="s">
        <v>4</v>
      </c>
      <c r="N308" s="212" t="s">
        <v>4</v>
      </c>
      <c r="O308" s="212" t="s">
        <v>4</v>
      </c>
      <c r="P308" s="212" t="s">
        <v>4</v>
      </c>
      <c r="Q308" s="212" t="s">
        <v>4</v>
      </c>
      <c r="R308" s="212" t="s">
        <v>4</v>
      </c>
      <c r="S308" s="212" t="s">
        <v>4</v>
      </c>
      <c r="T308" s="212" t="s">
        <v>4</v>
      </c>
      <c r="U308" s="212" t="s">
        <v>4</v>
      </c>
      <c r="V308" s="212" t="s">
        <v>4</v>
      </c>
      <c r="W308" s="212" t="s">
        <v>4</v>
      </c>
      <c r="X308" s="212" t="s">
        <v>4</v>
      </c>
      <c r="Y308" s="212" t="s">
        <v>4</v>
      </c>
      <c r="Z308" s="212" t="s">
        <v>4</v>
      </c>
      <c r="AA308" s="212" t="s">
        <v>4</v>
      </c>
      <c r="AB308" s="212" t="s">
        <v>4</v>
      </c>
      <c r="AC308" s="212" t="s">
        <v>4</v>
      </c>
      <c r="AD308" s="212" t="s">
        <v>4</v>
      </c>
      <c r="AE308" s="212" t="s">
        <v>4</v>
      </c>
      <c r="AF308" s="212" t="s">
        <v>4</v>
      </c>
      <c r="AG308" s="212" t="s">
        <v>4</v>
      </c>
      <c r="AH308" s="212" t="s">
        <v>4</v>
      </c>
      <c r="AI308" s="212" t="s">
        <v>4</v>
      </c>
      <c r="AJ308" s="212" t="s">
        <v>4</v>
      </c>
      <c r="AK308" s="212" t="s">
        <v>4</v>
      </c>
      <c r="AL308" s="212" t="s">
        <v>4</v>
      </c>
      <c r="AM308" s="212" t="s">
        <v>4</v>
      </c>
      <c r="AN308" s="212" t="s">
        <v>4</v>
      </c>
      <c r="AO308" s="212" t="s">
        <v>4</v>
      </c>
      <c r="AP308" s="212" t="s">
        <v>4</v>
      </c>
    </row>
    <row r="309" spans="1:42">
      <c r="A309" s="25" t="s">
        <v>109</v>
      </c>
      <c r="B309" s="25" t="s">
        <v>110</v>
      </c>
      <c r="C309" s="25" t="s">
        <v>111</v>
      </c>
      <c r="D309" s="26">
        <v>60</v>
      </c>
      <c r="E309" s="27">
        <v>22</v>
      </c>
      <c r="F309" s="28">
        <v>1320</v>
      </c>
      <c r="G309" s="213"/>
      <c r="H309" s="213"/>
      <c r="I309" s="213">
        <v>22</v>
      </c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  <c r="AA309" s="213"/>
      <c r="AB309" s="213"/>
      <c r="AC309" s="213"/>
      <c r="AD309" s="213"/>
      <c r="AE309" s="213"/>
      <c r="AF309" s="213"/>
      <c r="AG309" s="213"/>
      <c r="AH309" s="213"/>
      <c r="AI309" s="213"/>
      <c r="AJ309" s="213"/>
      <c r="AK309" s="213"/>
      <c r="AL309" s="213"/>
      <c r="AM309" s="213"/>
      <c r="AN309" s="213"/>
      <c r="AO309" s="213"/>
      <c r="AP309" s="213"/>
    </row>
    <row r="310" spans="1:42">
      <c r="A310" s="25" t="s">
        <v>109</v>
      </c>
      <c r="B310" s="25" t="s">
        <v>112</v>
      </c>
      <c r="C310" s="25" t="s">
        <v>113</v>
      </c>
      <c r="D310" s="26">
        <v>0</v>
      </c>
      <c r="E310" s="27">
        <v>5</v>
      </c>
      <c r="F310" s="28">
        <v>0</v>
      </c>
      <c r="G310" s="213">
        <v>1</v>
      </c>
      <c r="H310" s="213">
        <v>3</v>
      </c>
      <c r="I310" s="213">
        <v>1</v>
      </c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  <c r="AA310" s="213"/>
      <c r="AB310" s="213"/>
      <c r="AC310" s="213"/>
      <c r="AD310" s="213"/>
      <c r="AE310" s="213"/>
      <c r="AF310" s="213"/>
      <c r="AG310" s="213"/>
      <c r="AH310" s="213"/>
      <c r="AI310" s="213"/>
      <c r="AJ310" s="213"/>
      <c r="AK310" s="213"/>
      <c r="AL310" s="213"/>
      <c r="AM310" s="213"/>
      <c r="AN310" s="213"/>
      <c r="AO310" s="213"/>
      <c r="AP310" s="213"/>
    </row>
    <row r="311" spans="1:42">
      <c r="A311" s="25" t="s">
        <v>109</v>
      </c>
      <c r="B311" s="25" t="s">
        <v>114</v>
      </c>
      <c r="C311" s="25" t="s">
        <v>115</v>
      </c>
      <c r="D311" s="26">
        <v>50</v>
      </c>
      <c r="E311" s="27">
        <v>22</v>
      </c>
      <c r="F311" s="28">
        <v>1100</v>
      </c>
      <c r="G311" s="213"/>
      <c r="H311" s="213"/>
      <c r="I311" s="213">
        <v>22</v>
      </c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  <c r="AA311" s="213"/>
      <c r="AB311" s="213"/>
      <c r="AC311" s="213"/>
      <c r="AD311" s="213"/>
      <c r="AE311" s="213"/>
      <c r="AF311" s="213"/>
      <c r="AG311" s="213"/>
      <c r="AH311" s="213"/>
      <c r="AI311" s="213"/>
      <c r="AJ311" s="213"/>
      <c r="AK311" s="213"/>
      <c r="AL311" s="213"/>
      <c r="AM311" s="213"/>
      <c r="AN311" s="213"/>
      <c r="AO311" s="213"/>
      <c r="AP311" s="213"/>
    </row>
    <row r="312" spans="1:42" ht="19.5">
      <c r="A312" s="233"/>
      <c r="B312" s="216"/>
      <c r="C312" s="216"/>
      <c r="D312" s="216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5"/>
      <c r="Z312" s="235"/>
      <c r="AA312" s="235"/>
      <c r="AB312" s="235"/>
      <c r="AC312" s="235"/>
      <c r="AD312" s="235"/>
      <c r="AE312" s="235"/>
      <c r="AF312" s="210"/>
      <c r="AG312" s="210"/>
      <c r="AH312" s="210"/>
      <c r="AI312" s="210"/>
      <c r="AJ312" s="210"/>
      <c r="AK312" s="210"/>
      <c r="AL312" s="210"/>
      <c r="AM312" s="210"/>
      <c r="AN312" s="210"/>
      <c r="AO312" s="210"/>
      <c r="AP312" s="210"/>
    </row>
    <row r="313" spans="1:42" ht="18.3">
      <c r="A313" s="110" t="s">
        <v>236</v>
      </c>
      <c r="B313" s="110"/>
      <c r="C313" s="111">
        <f>F285</f>
        <v>2071.5</v>
      </c>
    </row>
    <row r="314" spans="1:42" ht="18.3">
      <c r="A314" s="126">
        <f>SUM(C313:C315)</f>
        <v>6610.1</v>
      </c>
      <c r="B314" s="110"/>
      <c r="C314" s="111">
        <f>F296</f>
        <v>2118.6000000000004</v>
      </c>
    </row>
    <row r="315" spans="1:42" ht="18.3">
      <c r="A315" s="110"/>
      <c r="B315" s="110"/>
      <c r="C315" s="111">
        <f>F307</f>
        <v>2420</v>
      </c>
    </row>
  </sheetData>
  <mergeCells count="66">
    <mergeCell ref="A105:AE105"/>
    <mergeCell ref="A306:AE306"/>
    <mergeCell ref="A307:D307"/>
    <mergeCell ref="A312:AE312"/>
    <mergeCell ref="A265:AE265"/>
    <mergeCell ref="A211:AE211"/>
    <mergeCell ref="A212:D212"/>
    <mergeCell ref="A218:AE218"/>
    <mergeCell ref="A240:AE240"/>
    <mergeCell ref="A223:AE223"/>
    <mergeCell ref="A224:D224"/>
    <mergeCell ref="A229:AE229"/>
    <mergeCell ref="A295:AE295"/>
    <mergeCell ref="A296:D296"/>
    <mergeCell ref="A301:AE301"/>
    <mergeCell ref="A234:AE234"/>
    <mergeCell ref="A106:D106"/>
    <mergeCell ref="A172:AD172"/>
    <mergeCell ref="A157:D157"/>
    <mergeCell ref="A144:AE144"/>
    <mergeCell ref="A145:D145"/>
    <mergeCell ref="A151:AE151"/>
    <mergeCell ref="A139:AE139"/>
    <mergeCell ref="A117:AE117"/>
    <mergeCell ref="A118:D118"/>
    <mergeCell ref="A124:AE124"/>
    <mergeCell ref="A156:AE156"/>
    <mergeCell ref="A112:AE112"/>
    <mergeCell ref="A132:AE132"/>
    <mergeCell ref="A133:D133"/>
    <mergeCell ref="A11:AE11"/>
    <mergeCell ref="A12:D12"/>
    <mergeCell ref="A19:AE19"/>
    <mergeCell ref="A20:D20"/>
    <mergeCell ref="A30:AE30"/>
    <mergeCell ref="A31:D31"/>
    <mergeCell ref="A93:AE93"/>
    <mergeCell ref="A94:D94"/>
    <mergeCell ref="A78:AE78"/>
    <mergeCell ref="A79:D79"/>
    <mergeCell ref="A41:AE41"/>
    <mergeCell ref="A42:D42"/>
    <mergeCell ref="A55:AE55"/>
    <mergeCell ref="A56:D56"/>
    <mergeCell ref="A66:AE66"/>
    <mergeCell ref="A67:D67"/>
    <mergeCell ref="A248:AE248"/>
    <mergeCell ref="A249:D249"/>
    <mergeCell ref="A254:AE254"/>
    <mergeCell ref="A203:AE203"/>
    <mergeCell ref="A173:D173"/>
    <mergeCell ref="A179:AD179"/>
    <mergeCell ref="A184:AE184"/>
    <mergeCell ref="A185:D185"/>
    <mergeCell ref="A191:AE191"/>
    <mergeCell ref="A196:AE196"/>
    <mergeCell ref="A197:D197"/>
    <mergeCell ref="A235:D235"/>
    <mergeCell ref="A284:AE284"/>
    <mergeCell ref="A285:D285"/>
    <mergeCell ref="A290:AE290"/>
    <mergeCell ref="A259:AE259"/>
    <mergeCell ref="A260:D260"/>
    <mergeCell ref="A270:AE270"/>
    <mergeCell ref="A271:D271"/>
    <mergeCell ref="A276:AE276"/>
  </mergeCells>
  <phoneticPr fontId="16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B691-1B08-4977-B5C2-9DA5A5D1C4F1}">
  <sheetPr codeName="工作表3"/>
  <dimension ref="A3:C28"/>
  <sheetViews>
    <sheetView showGridLines="0" zoomScale="85" zoomScaleNormal="85" workbookViewId="0">
      <selection activeCell="A5" sqref="A5:C5"/>
    </sheetView>
  </sheetViews>
  <sheetFormatPr defaultRowHeight="16.5"/>
  <cols>
    <col min="1" max="1" width="22.5234375" style="41" customWidth="1"/>
    <col min="2" max="2" width="30.68359375" customWidth="1"/>
    <col min="3" max="3" width="22.7890625" style="41" customWidth="1"/>
  </cols>
  <sheetData>
    <row r="3" spans="1:3" ht="10.8" customHeight="1"/>
    <row r="4" spans="1:3" ht="20.399999999999999" customHeight="1" thickBot="1">
      <c r="A4" s="215"/>
      <c r="B4" s="216"/>
      <c r="C4" s="216"/>
    </row>
    <row r="5" spans="1:3" ht="19.2" customHeight="1">
      <c r="A5" s="122"/>
      <c r="B5" s="123"/>
      <c r="C5" s="124"/>
    </row>
    <row r="6" spans="1:3">
      <c r="A6" s="217" t="s">
        <v>41</v>
      </c>
      <c r="B6" s="42" t="s">
        <v>85</v>
      </c>
      <c r="C6" s="56">
        <v>200</v>
      </c>
    </row>
    <row r="7" spans="1:3" ht="18.600000000000001" hidden="1" customHeight="1">
      <c r="A7" s="218"/>
      <c r="B7" s="42" t="s">
        <v>42</v>
      </c>
      <c r="C7" s="96"/>
    </row>
    <row r="8" spans="1:3" ht="18.45" customHeight="1">
      <c r="A8" s="218"/>
      <c r="B8" s="42" t="s">
        <v>43</v>
      </c>
      <c r="C8" s="48"/>
    </row>
    <row r="9" spans="1:3" ht="18.45" customHeight="1">
      <c r="A9" s="218"/>
      <c r="B9" s="42" t="s">
        <v>86</v>
      </c>
      <c r="C9" s="44"/>
    </row>
    <row r="10" spans="1:3" ht="18.45" customHeight="1">
      <c r="A10" s="218"/>
      <c r="B10" s="43" t="s">
        <v>83</v>
      </c>
      <c r="C10" s="44">
        <v>66</v>
      </c>
    </row>
    <row r="11" spans="1:3" ht="18.45" customHeight="1">
      <c r="A11" s="218"/>
      <c r="B11" s="43" t="s">
        <v>44</v>
      </c>
      <c r="C11" s="45"/>
    </row>
    <row r="12" spans="1:3" ht="31.8" customHeight="1">
      <c r="A12" s="218"/>
      <c r="B12" s="46" t="s">
        <v>84</v>
      </c>
      <c r="C12" s="47">
        <v>200</v>
      </c>
    </row>
    <row r="13" spans="1:3" ht="18.45" customHeight="1">
      <c r="A13" s="218"/>
      <c r="B13" s="43" t="s">
        <v>128</v>
      </c>
      <c r="C13" s="48"/>
    </row>
    <row r="14" spans="1:3" ht="18.45" customHeight="1">
      <c r="A14" s="218"/>
      <c r="B14" s="43" t="s">
        <v>82</v>
      </c>
      <c r="C14" s="97"/>
    </row>
    <row r="15" spans="1:3" ht="18.45" customHeight="1">
      <c r="A15" s="218"/>
      <c r="B15" s="42" t="s">
        <v>45</v>
      </c>
      <c r="C15" s="49">
        <v>50</v>
      </c>
    </row>
    <row r="16" spans="1:3" ht="18.45" customHeight="1">
      <c r="A16" s="219"/>
      <c r="B16" s="42" t="s">
        <v>81</v>
      </c>
      <c r="C16" s="49"/>
    </row>
    <row r="17" spans="1:3" ht="18.45" customHeight="1">
      <c r="A17" s="50" t="s">
        <v>46</v>
      </c>
      <c r="B17" s="43" t="s">
        <v>47</v>
      </c>
      <c r="C17" s="49"/>
    </row>
    <row r="18" spans="1:3" ht="18.45" customHeight="1">
      <c r="A18" s="51" t="s">
        <v>48</v>
      </c>
      <c r="B18" s="42" t="s">
        <v>49</v>
      </c>
      <c r="C18" s="52"/>
    </row>
    <row r="19" spans="1:3" ht="18.45" customHeight="1">
      <c r="A19" s="217" t="s">
        <v>50</v>
      </c>
      <c r="B19" s="43"/>
      <c r="C19" s="49"/>
    </row>
    <row r="20" spans="1:3" ht="18.45" customHeight="1">
      <c r="A20" s="218"/>
      <c r="B20" s="43"/>
      <c r="C20" s="49"/>
    </row>
    <row r="21" spans="1:3" ht="18.45" customHeight="1">
      <c r="A21" s="218"/>
      <c r="B21" s="43" t="s">
        <v>80</v>
      </c>
      <c r="C21" s="53"/>
    </row>
    <row r="22" spans="1:3" ht="18.45" customHeight="1">
      <c r="A22" s="219"/>
      <c r="B22" s="43" t="s">
        <v>79</v>
      </c>
      <c r="C22" s="53"/>
    </row>
    <row r="23" spans="1:3" ht="18.45" customHeight="1">
      <c r="A23" s="54" t="s">
        <v>51</v>
      </c>
      <c r="B23" s="55" t="s">
        <v>52</v>
      </c>
      <c r="C23" s="56"/>
    </row>
    <row r="24" spans="1:3" ht="18.45" customHeight="1">
      <c r="A24" s="57" t="s">
        <v>53</v>
      </c>
      <c r="B24" s="43" t="s">
        <v>54</v>
      </c>
      <c r="C24" s="58"/>
    </row>
    <row r="25" spans="1:3" ht="18.45" customHeight="1">
      <c r="A25" s="59" t="s">
        <v>55</v>
      </c>
      <c r="B25" s="60" t="s">
        <v>56</v>
      </c>
      <c r="C25" s="61"/>
    </row>
    <row r="26" spans="1:3" ht="18.45" customHeight="1">
      <c r="A26" s="62" t="s">
        <v>57</v>
      </c>
      <c r="B26" s="63" t="s">
        <v>58</v>
      </c>
      <c r="C26" s="64"/>
    </row>
    <row r="27" spans="1:3" ht="18.45" customHeight="1" thickBot="1">
      <c r="A27" s="65" t="s">
        <v>59</v>
      </c>
      <c r="B27" s="66"/>
      <c r="C27" s="67">
        <f>C25+C26</f>
        <v>0</v>
      </c>
    </row>
    <row r="28" spans="1:3" ht="66.599999999999994" customHeight="1" thickBot="1">
      <c r="A28" s="68" t="s">
        <v>60</v>
      </c>
      <c r="B28" s="220"/>
      <c r="C28" s="221"/>
    </row>
  </sheetData>
  <sheetProtection selectLockedCells="1" selectUnlockedCells="1"/>
  <mergeCells count="4">
    <mergeCell ref="A4:C4"/>
    <mergeCell ref="A6:A16"/>
    <mergeCell ref="A19:A22"/>
    <mergeCell ref="B28:C28"/>
  </mergeCells>
  <phoneticPr fontId="16" type="noConversion"/>
  <printOptions horizontalCentered="1"/>
  <pageMargins left="1.3779527559055118" right="1.1811023622047245" top="0.98425196850393704" bottom="0.98425196850393704" header="0.51181102362204722" footer="0.51181102362204722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113年12月</vt:lpstr>
      <vt:lpstr>113年12月(2)</vt:lpstr>
      <vt:lpstr>114年1月</vt:lpstr>
      <vt:lpstr>114年2月</vt:lpstr>
      <vt:lpstr>114年3月</vt:lpstr>
      <vt:lpstr>114年3月(2)</vt:lpstr>
      <vt:lpstr>114年4月</vt:lpstr>
      <vt:lpstr>114年5月</vt:lpstr>
      <vt:lpstr>114年6月</vt:lpstr>
      <vt:lpstr>114年6月(2)</vt:lpstr>
      <vt:lpstr>114年7月</vt:lpstr>
      <vt:lpstr>114年8月</vt:lpstr>
      <vt:lpstr>114年9月</vt:lpstr>
      <vt:lpstr>114年9月(2)</vt:lpstr>
      <vt:lpstr>114年10月</vt:lpstr>
      <vt:lpstr>114年11月</vt:lpstr>
      <vt:lpstr>114年12月</vt:lpstr>
      <vt:lpstr>總表</vt:lpstr>
      <vt:lpstr>AA碼季獎金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Tsai</dc:creator>
  <cp:lastModifiedBy>文靜 蔡</cp:lastModifiedBy>
  <dcterms:created xsi:type="dcterms:W3CDTF">2021-02-25T03:43:04Z</dcterms:created>
  <dcterms:modified xsi:type="dcterms:W3CDTF">2026-02-11T10:56:52Z</dcterms:modified>
</cp:coreProperties>
</file>