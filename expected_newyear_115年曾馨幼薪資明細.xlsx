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Vivian\五棵松\薪資\salary batch run test\real 拆帳時薪1\"/>
    </mc:Choice>
  </mc:AlternateContent>
  <xr:revisionPtr revIDLastSave="0" documentId="8_{19AE3DDB-97E7-4C7A-A686-C5A1C25A95DC}" xr6:coauthVersionLast="47" xr6:coauthVersionMax="47" xr10:uidLastSave="{00000000-0000-0000-0000-000000000000}"/>
  <bookViews>
    <workbookView xWindow="-96" yWindow="-96" windowWidth="23232" windowHeight="13872" activeTab="2" xr2:uid="{FDA6B6D9-5312-4D43-A7F5-990B8A61DA1B}"/>
  </bookViews>
  <sheets>
    <sheet name="114年12月" sheetId="68" r:id="rId1"/>
    <sheet name="總表" sheetId="27" r:id="rId2"/>
    <sheet name="AA碼季獎金" sheetId="44" r:id="rId3"/>
    <sheet name="format" sheetId="32" r:id="rId4"/>
  </sheets>
  <externalReferences>
    <externalReference r:id="rId5"/>
  </externalReferences>
  <definedNames>
    <definedName name="__Anonymous_Sheet_DB__1" localSheetId="0">#REF!</definedName>
    <definedName name="__Anonymous_Sheet_DB__1" localSheetId="2">#REF!</definedName>
    <definedName name="__Anonymous_Sheet_DB__1" localSheetId="3">#REF!</definedName>
    <definedName name="__Anonymous_Sheet_DB__1" localSheetId="1">#REF!</definedName>
    <definedName name="__Anonymous_Sheet_DB__1">#REF!</definedName>
    <definedName name="__Anonymous_Sheet_DB__1_1" localSheetId="2">#REF!</definedName>
    <definedName name="__Anonymous_Sheet_DB__1_1" localSheetId="1">#REF!</definedName>
    <definedName name="__Anonymous_Sheet_DB__1_1">#REF!</definedName>
    <definedName name="__Anonymous_Sheet_DB__2" localSheetId="2">#REF!</definedName>
    <definedName name="__Anonymous_Sheet_DB__2" localSheetId="1">#REF!</definedName>
    <definedName name="__Anonymous_Sheet_DB__2">#REF!</definedName>
    <definedName name="_xlnm._FilterDatabase" localSheetId="1">#REF!</definedName>
    <definedName name="_xlnm._FilterDatabase">#REF!</definedName>
    <definedName name="_FilterDatabase_1" localSheetId="1">#REF!</definedName>
    <definedName name="_FilterDatabase_1">#REF!</definedName>
    <definedName name="_FilterDatabase_1_1" localSheetId="1">#REF!</definedName>
    <definedName name="_FilterDatabase_1_1">#REF!</definedName>
    <definedName name="_FilterDatabase_2" localSheetId="1">#REF!</definedName>
    <definedName name="_FilterDatabase_2">#REF!</definedName>
    <definedName name="_xlnm.Print_Area">'[1]薪資表(月薪)'!$A$1:$AS$4</definedName>
    <definedName name="sss" localSheetId="0">#REF!</definedName>
    <definedName name="sss" localSheetId="2">#REF!</definedName>
    <definedName name="sss" localSheetId="3">#REF!</definedName>
    <definedName name="sss" localSheetId="1">#REF!</definedName>
    <definedName name="ss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68" l="1"/>
  <c r="C25" i="68"/>
  <c r="C24" i="68"/>
  <c r="C23" i="68"/>
  <c r="C22" i="68"/>
  <c r="C21" i="68"/>
  <c r="C20" i="68"/>
  <c r="C19" i="68"/>
  <c r="C18" i="68"/>
  <c r="C17" i="68"/>
  <c r="C16" i="68"/>
  <c r="C14" i="68"/>
  <c r="C13" i="68"/>
  <c r="C11" i="68"/>
  <c r="C9" i="68"/>
  <c r="C8" i="68"/>
  <c r="C5" i="68"/>
  <c r="A5" i="68"/>
  <c r="B5" i="68"/>
  <c r="A4" i="68"/>
  <c r="C27" i="68" l="1"/>
  <c r="C21" i="44"/>
  <c r="C20" i="44"/>
  <c r="C19" i="44"/>
  <c r="A20" i="44" s="1"/>
  <c r="C27" i="32" l="1"/>
</calcChain>
</file>

<file path=xl/sharedStrings.xml><?xml version="1.0" encoding="utf-8"?>
<sst xmlns="http://schemas.openxmlformats.org/spreadsheetml/2006/main" count="176" uniqueCount="107">
  <si>
    <t>一般/偏鄉</t>
    <phoneticPr fontId="4" type="noConversion"/>
  </si>
  <si>
    <t>項目名稱</t>
    <phoneticPr fontId="4" type="noConversion"/>
  </si>
  <si>
    <t>編號</t>
    <phoneticPr fontId="4" type="noConversion"/>
  </si>
  <si>
    <t>單價</t>
    <phoneticPr fontId="4" type="noConversion"/>
  </si>
  <si>
    <t>組數</t>
    <phoneticPr fontId="4" type="noConversion"/>
  </si>
  <si>
    <t>小計</t>
    <phoneticPr fontId="4" type="noConversion"/>
  </si>
  <si>
    <t>基本資料</t>
    <phoneticPr fontId="4" type="noConversion"/>
  </si>
  <si>
    <t>服務所得</t>
    <phoneticPr fontId="20" type="noConversion"/>
  </si>
  <si>
    <t>勞健保費</t>
    <phoneticPr fontId="20" type="noConversion"/>
  </si>
  <si>
    <t>X-AH</t>
    <phoneticPr fontId="20" type="noConversion"/>
  </si>
  <si>
    <t>AI-AJ</t>
    <phoneticPr fontId="20" type="noConversion"/>
  </si>
  <si>
    <t>年月</t>
    <phoneticPr fontId="20" type="noConversion"/>
  </si>
  <si>
    <t>正/兼職</t>
    <phoneticPr fontId="20" type="noConversion"/>
  </si>
  <si>
    <t>身分證字號</t>
    <phoneticPr fontId="20" type="noConversion"/>
  </si>
  <si>
    <t>員工編號</t>
    <phoneticPr fontId="20" type="noConversion"/>
  </si>
  <si>
    <t>職稱</t>
    <phoneticPr fontId="20" type="noConversion"/>
  </si>
  <si>
    <t>姓名</t>
    <phoneticPr fontId="20" type="noConversion"/>
  </si>
  <si>
    <t>薪制</t>
    <phoneticPr fontId="20" type="noConversion"/>
  </si>
  <si>
    <t>銀行帳號</t>
    <phoneticPr fontId="20" type="noConversion"/>
  </si>
  <si>
    <t>連絡電話</t>
    <phoneticPr fontId="20" type="noConversion"/>
  </si>
  <si>
    <t>時薪</t>
    <phoneticPr fontId="20" type="noConversion"/>
  </si>
  <si>
    <t xml:space="preserve"> 平日工作加給</t>
    <phoneticPr fontId="20" type="noConversion"/>
  </si>
  <si>
    <r>
      <t xml:space="preserve">平日加班加給           </t>
    </r>
    <r>
      <rPr>
        <b/>
        <sz val="10"/>
        <color theme="4" tint="-0.249977111117893"/>
        <rFont val="Microsoft JhengHei UI"/>
        <family val="2"/>
        <charset val="136"/>
      </rPr>
      <t xml:space="preserve">/B碼拆帳比        </t>
    </r>
    <r>
      <rPr>
        <b/>
        <sz val="10"/>
        <color indexed="64"/>
        <rFont val="Microsoft JhengHei UI"/>
        <family val="2"/>
        <charset val="136"/>
      </rPr>
      <t xml:space="preserve">     </t>
    </r>
    <r>
      <rPr>
        <b/>
        <sz val="10"/>
        <color theme="8" tint="-0.499984740745262"/>
        <rFont val="Microsoft JhengHei UI"/>
        <family val="2"/>
        <charset val="136"/>
      </rPr>
      <t xml:space="preserve">   /督導常日拆帳比</t>
    </r>
    <phoneticPr fontId="20" type="noConversion"/>
  </si>
  <si>
    <t>津貼</t>
  </si>
  <si>
    <t>平日時數</t>
    <phoneticPr fontId="20" type="noConversion"/>
  </si>
  <si>
    <t>平日加班時數</t>
    <phoneticPr fontId="4" type="noConversion"/>
  </si>
  <si>
    <t>例假日時數</t>
    <phoneticPr fontId="20" type="noConversion"/>
  </si>
  <si>
    <t>總工作時數</t>
    <phoneticPr fontId="4" type="noConversion"/>
  </si>
  <si>
    <t>應發薪資</t>
    <phoneticPr fontId="4" type="noConversion"/>
  </si>
  <si>
    <t>加(退)保日</t>
    <phoneticPr fontId="20" type="noConversion"/>
  </si>
  <si>
    <r>
      <rPr>
        <b/>
        <sz val="10"/>
        <color rgb="FF000000"/>
        <rFont val="Microsoft JhengHei UI"/>
        <family val="2"/>
        <charset val="136"/>
      </rPr>
      <t>勞保</t>
    </r>
    <r>
      <rPr>
        <b/>
        <sz val="10"/>
        <color indexed="64"/>
        <rFont val="Microsoft JhengHei UI"/>
        <family val="2"/>
        <charset val="136"/>
      </rPr>
      <t>投保金額</t>
    </r>
    <phoneticPr fontId="20" type="noConversion"/>
  </si>
  <si>
    <t>勞保費</t>
    <phoneticPr fontId="20" type="noConversion"/>
  </si>
  <si>
    <r>
      <rPr>
        <b/>
        <sz val="10"/>
        <color rgb="FF000000"/>
        <rFont val="Microsoft JhengHei UI"/>
        <family val="2"/>
        <charset val="136"/>
      </rPr>
      <t>健保</t>
    </r>
    <r>
      <rPr>
        <b/>
        <sz val="10"/>
        <color indexed="64"/>
        <rFont val="Microsoft JhengHei UI"/>
        <family val="2"/>
        <charset val="136"/>
      </rPr>
      <t>投保金額</t>
    </r>
    <phoneticPr fontId="20" type="noConversion"/>
  </si>
  <si>
    <t>健保費</t>
    <phoneticPr fontId="20" type="noConversion"/>
  </si>
  <si>
    <t>加保人數</t>
    <phoneticPr fontId="4" type="noConversion"/>
  </si>
  <si>
    <t>補充保費計算</t>
    <phoneticPr fontId="4" type="noConversion"/>
  </si>
  <si>
    <t>應扣金額</t>
    <phoneticPr fontId="20" type="noConversion"/>
  </si>
  <si>
    <t>應付薪資</t>
    <phoneticPr fontId="20" type="noConversion"/>
  </si>
  <si>
    <t>支領現金</t>
    <phoneticPr fontId="20" type="noConversion"/>
  </si>
  <si>
    <t>薪轉金額</t>
    <phoneticPr fontId="20" type="noConversion"/>
  </si>
  <si>
    <t>公司負擔勞退</t>
    <phoneticPr fontId="4" type="noConversion"/>
  </si>
  <si>
    <t>項目(A1)</t>
    <phoneticPr fontId="29" type="noConversion"/>
  </si>
  <si>
    <t>工作加給/小時               (aa)</t>
    <phoneticPr fontId="4" type="noConversion"/>
  </si>
  <si>
    <t>平日服務時數                          (b)</t>
    <phoneticPr fontId="29" type="noConversion"/>
  </si>
  <si>
    <t>平日加班時數                          (e)</t>
    <phoneticPr fontId="4" type="noConversion"/>
  </si>
  <si>
    <t>津貼/小時                                  (i)</t>
    <phoneticPr fontId="4" type="noConversion"/>
  </si>
  <si>
    <t>獎金(A2)</t>
    <phoneticPr fontId="4" type="noConversion"/>
  </si>
  <si>
    <t xml:space="preserve">                                                    </t>
    <phoneticPr fontId="4" type="noConversion"/>
  </si>
  <si>
    <t>應發薪資(A)</t>
    <phoneticPr fontId="29" type="noConversion"/>
  </si>
  <si>
    <t>A1(c+h+j)+A2</t>
    <phoneticPr fontId="29" type="noConversion"/>
  </si>
  <si>
    <t>個人扣項</t>
    <phoneticPr fontId="29" type="noConversion"/>
  </si>
  <si>
    <t>應扣總款(B)</t>
    <phoneticPr fontId="29" type="noConversion"/>
  </si>
  <si>
    <t>k+l+m+n</t>
    <phoneticPr fontId="29" type="noConversion"/>
  </si>
  <si>
    <t>支領現金</t>
    <phoneticPr fontId="29" type="noConversion"/>
  </si>
  <si>
    <t xml:space="preserve">       </t>
    <phoneticPr fontId="29" type="noConversion"/>
  </si>
  <si>
    <t>實發薪資(C)</t>
    <phoneticPr fontId="29" type="noConversion"/>
  </si>
  <si>
    <t>銀行薪轉金額</t>
    <phoneticPr fontId="29" type="noConversion"/>
  </si>
  <si>
    <t>勞退 (D)</t>
    <phoneticPr fontId="29" type="noConversion"/>
  </si>
  <si>
    <t>機構負擔勞退6%</t>
    <phoneticPr fontId="29" type="noConversion"/>
  </si>
  <si>
    <t>實得薪資</t>
    <phoneticPr fontId="29" type="noConversion"/>
  </si>
  <si>
    <t>備註</t>
    <phoneticPr fontId="29" type="noConversion"/>
  </si>
  <si>
    <t>自提勞退                                  (n)</t>
    <phoneticPr fontId="29" type="noConversion"/>
  </si>
  <si>
    <t>二代健保                                 (m)</t>
    <phoneticPr fontId="29" type="noConversion"/>
  </si>
  <si>
    <r>
      <t>總津貼</t>
    </r>
    <r>
      <rPr>
        <sz val="10"/>
        <color theme="1"/>
        <rFont val="微軟正黑體"/>
        <family val="2"/>
        <charset val="136"/>
      </rPr>
      <t xml:space="preserve">(50*總工作時數 ) </t>
    </r>
    <r>
      <rPr>
        <sz val="12"/>
        <color theme="1"/>
        <rFont val="微軟正黑體"/>
        <family val="2"/>
        <charset val="136"/>
      </rPr>
      <t xml:space="preserve">               (j)</t>
    </r>
    <phoneticPr fontId="4" type="noConversion"/>
  </si>
  <si>
    <t>總加班費                                  (h)</t>
    <phoneticPr fontId="29" type="noConversion"/>
  </si>
  <si>
    <t>平日加班加給/小時                 (d)</t>
    <phoneticPr fontId="4" type="noConversion"/>
  </si>
  <si>
    <r>
      <t>平日延長加班/假日</t>
    </r>
    <r>
      <rPr>
        <sz val="10"/>
        <color theme="1"/>
        <rFont val="微軟正黑體"/>
        <family val="2"/>
        <charset val="136"/>
      </rPr>
      <t xml:space="preserve">(休息及國定)  </t>
    </r>
    <r>
      <rPr>
        <sz val="8"/>
        <color theme="1"/>
        <rFont val="微軟正黑體"/>
        <family val="2"/>
        <charset val="136"/>
      </rPr>
      <t xml:space="preserve"> </t>
    </r>
    <r>
      <rPr>
        <sz val="12"/>
        <color theme="1"/>
        <rFont val="微軟正黑體"/>
        <family val="2"/>
        <charset val="136"/>
      </rPr>
      <t>加給/小時                                 (f)</t>
    </r>
    <phoneticPr fontId="29" type="noConversion"/>
  </si>
  <si>
    <t>薪資/小時                                (a)</t>
    <phoneticPr fontId="29" type="noConversion"/>
  </si>
  <si>
    <t>本薪                                         (c)</t>
    <phoneticPr fontId="29" type="noConversion"/>
  </si>
  <si>
    <t>平日加班時數超過10小時     /總工時累進加給比例</t>
    <phoneticPr fontId="4" type="noConversion"/>
  </si>
  <si>
    <r>
      <t xml:space="preserve">本薪                          </t>
    </r>
    <r>
      <rPr>
        <b/>
        <sz val="10"/>
        <color theme="4" tint="-0.249977111117893"/>
        <rFont val="Microsoft JhengHei UI"/>
        <family val="2"/>
        <charset val="136"/>
      </rPr>
      <t>/服務B碼營業額</t>
    </r>
    <phoneticPr fontId="20" type="noConversion"/>
  </si>
  <si>
    <r>
      <rPr>
        <b/>
        <sz val="10"/>
        <color rgb="FF000000"/>
        <rFont val="Microsoft JhengHei UI"/>
        <family val="2"/>
        <charset val="136"/>
      </rPr>
      <t>總</t>
    </r>
    <r>
      <rPr>
        <b/>
        <sz val="10"/>
        <color indexed="64"/>
        <rFont val="Microsoft JhengHei UI"/>
        <family val="2"/>
        <charset val="136"/>
      </rPr>
      <t>津貼                   /</t>
    </r>
    <r>
      <rPr>
        <b/>
        <sz val="10"/>
        <color theme="4" tint="-0.249977111117893"/>
        <rFont val="Microsoft JhengHei UI"/>
        <family val="2"/>
        <charset val="136"/>
      </rPr>
      <t>服務B碼所得</t>
    </r>
    <phoneticPr fontId="20" type="noConversion"/>
  </si>
  <si>
    <r>
      <t xml:space="preserve"> 獎金                           </t>
    </r>
    <r>
      <rPr>
        <b/>
        <sz val="10"/>
        <color theme="4" tint="-0.249977111117893"/>
        <rFont val="Microsoft JhengHei UI"/>
        <family val="2"/>
        <charset val="136"/>
      </rPr>
      <t>/政策A碼獎金所得</t>
    </r>
    <r>
      <rPr>
        <b/>
        <sz val="10"/>
        <color theme="1"/>
        <rFont val="Microsoft JhengHei UI"/>
        <family val="2"/>
        <charset val="136"/>
      </rPr>
      <t xml:space="preserve">                   </t>
    </r>
    <phoneticPr fontId="20" type="noConversion"/>
  </si>
  <si>
    <t xml:space="preserve"> 二代健保    補充保費</t>
    <phoneticPr fontId="4" type="noConversion"/>
  </si>
  <si>
    <t>自提勞退           / 銀行債務</t>
    <phoneticPr fontId="4" type="noConversion"/>
  </si>
  <si>
    <t>延常例價國定日加給               /A碼拆障比                          /督導加班及假日拆帳比</t>
    <phoneticPr fontId="20" type="noConversion"/>
  </si>
  <si>
    <r>
      <t xml:space="preserve"> 總加班費                            </t>
    </r>
    <r>
      <rPr>
        <b/>
        <sz val="10"/>
        <rFont val="Microsoft JhengHei UI"/>
        <family val="2"/>
        <charset val="136"/>
      </rPr>
      <t>/政策鼓勵A碼獎金</t>
    </r>
    <phoneticPr fontId="20" type="noConversion"/>
  </si>
  <si>
    <t>正</t>
  </si>
  <si>
    <t>N0174</t>
  </si>
  <si>
    <t>居服員</t>
  </si>
  <si>
    <t>曾馨幼</t>
  </si>
  <si>
    <t>時薪</t>
  </si>
  <si>
    <t>0922297795</t>
  </si>
  <si>
    <t>拆帳金額</t>
    <phoneticPr fontId="4" type="noConversion"/>
  </si>
  <si>
    <t>劉玉麟</t>
  </si>
  <si>
    <t>一般價格</t>
  </si>
  <si>
    <t>照顧困難之服務加計</t>
  </si>
  <si>
    <t>AA05(10712)</t>
  </si>
  <si>
    <t>例假日服務</t>
  </si>
  <si>
    <t>AA09</t>
  </si>
  <si>
    <t>照顧服務員進階訓練</t>
  </si>
  <si>
    <t>AA11</t>
  </si>
  <si>
    <t>F224490326</t>
  </si>
  <si>
    <t>699513899681</t>
  </si>
  <si>
    <t>延長加班+例假日服務時數     (g)</t>
    <phoneticPr fontId="29" type="noConversion"/>
  </si>
  <si>
    <t>勞保費(45800)                        (k)</t>
  </si>
  <si>
    <t>嚴素菁</t>
  </si>
  <si>
    <t>王麗雯</t>
  </si>
  <si>
    <t>吳虹儒</t>
  </si>
  <si>
    <t>吳虹儒　　　</t>
  </si>
  <si>
    <t>新北市私立五棵松居家長照機構     2025年09月     員工拆帳明細表</t>
  </si>
  <si>
    <t>廖梅</t>
  </si>
  <si>
    <t>114年第3季AA碼獎金=</t>
    <phoneticPr fontId="4" type="noConversion"/>
  </si>
  <si>
    <t>114/11/01</t>
  </si>
  <si>
    <t>健保費(50600)                         (l)</t>
  </si>
  <si>
    <t>114年12月</t>
  </si>
  <si>
    <t>建立時間: 2026/1/28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</si>
</sst>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0.00_);[Red]\(0.00\)"/>
    <numFmt numFmtId="179" formatCode="_-&quot;$&quot;* #,##0_-;\-&quot;$&quot;* #,##0_-;_-&quot;$&quot;* &quot;-&quot;??_-;_-@_-"/>
    <numFmt numFmtId="180" formatCode="0.00_);\(0.00\)"/>
    <numFmt numFmtId="181" formatCode="&quot;$&quot;#,##0.00"/>
    <numFmt numFmtId="182" formatCode="0_);[Red]\(0\)"/>
    <numFmt numFmtId="183" formatCode="#,##0_);[Red]\(#,##0\)"/>
    <numFmt numFmtId="184" formatCode="_(&quot;$&quot;* #,##0_);_(&quot;$&quot;* \(#,##0\);_(&quot;$&quot;* &quot;-&quot;??_);_(@_)"/>
    <numFmt numFmtId="185" formatCode="[$-404]e/m/d;@"/>
    <numFmt numFmtId="186" formatCode="&quot;$&quot;#,##0"/>
    <numFmt numFmtId="187" formatCode="[$-404]ggge&quot;年&quot;m&quot;月&quot;d&quot;日&quot;;@"/>
  </numFmts>
  <fonts count="40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10"/>
      <color indexed="64"/>
      <name val="Microsoft YaHei"/>
      <family val="2"/>
      <charset val="136"/>
    </font>
    <font>
      <sz val="10"/>
      <color theme="1"/>
      <name val="Microsoft JhengHei UI"/>
      <family val="2"/>
      <charset val="136"/>
    </font>
    <font>
      <sz val="10"/>
      <color rgb="FF000000"/>
      <name val="Microsoft JhengHei UI"/>
      <family val="2"/>
      <charset val="136"/>
    </font>
    <font>
      <sz val="10"/>
      <color indexed="64"/>
      <name val="Microsoft JhengHei UI"/>
      <family val="2"/>
      <charset val="136"/>
    </font>
    <font>
      <sz val="11"/>
      <color theme="1"/>
      <name val="新細明體"/>
      <family val="2"/>
      <scheme val="minor"/>
    </font>
    <font>
      <sz val="10"/>
      <name val="Microsoft YaHei"/>
      <family val="2"/>
      <charset val="136"/>
    </font>
    <font>
      <sz val="10"/>
      <color theme="1"/>
      <name val="微軟正黑體"/>
      <family val="2"/>
      <charset val="136"/>
    </font>
    <font>
      <b/>
      <sz val="14"/>
      <color theme="1"/>
      <name val="新細明體"/>
      <family val="2"/>
      <charset val="136"/>
      <scheme val="minor"/>
    </font>
    <font>
      <b/>
      <sz val="18"/>
      <color theme="1"/>
      <name val="微軟正黑體"/>
      <family val="2"/>
      <charset val="136"/>
    </font>
    <font>
      <sz val="18"/>
      <color theme="1"/>
      <name val="新細明體"/>
      <family val="2"/>
      <charset val="136"/>
      <scheme val="minor"/>
    </font>
    <font>
      <b/>
      <sz val="10"/>
      <color rgb="FF000000"/>
      <name val="Microsoft JhengHei UI"/>
      <family val="2"/>
      <charset val="136"/>
    </font>
    <font>
      <sz val="9"/>
      <name val="Microsoft YaHei"/>
      <family val="2"/>
      <charset val="136"/>
    </font>
    <font>
      <b/>
      <sz val="10"/>
      <color indexed="64"/>
      <name val="Microsoft JhengHei UI"/>
      <family val="2"/>
      <charset val="136"/>
    </font>
    <font>
      <sz val="11"/>
      <color indexed="64"/>
      <name val="Microsoft YaHei"/>
      <family val="2"/>
      <charset val="136"/>
    </font>
    <font>
      <b/>
      <sz val="10"/>
      <color theme="4" tint="-0.249977111117893"/>
      <name val="Microsoft JhengHei UI"/>
      <family val="2"/>
      <charset val="136"/>
    </font>
    <font>
      <b/>
      <sz val="10"/>
      <color theme="8" tint="-0.499984740745262"/>
      <name val="Microsoft JhengHei UI"/>
      <family val="2"/>
      <charset val="136"/>
    </font>
    <font>
      <b/>
      <sz val="10"/>
      <name val="Microsoft JhengHei UI"/>
      <family val="2"/>
      <charset val="136"/>
    </font>
    <font>
      <b/>
      <sz val="10"/>
      <color theme="1"/>
      <name val="Microsoft JhengHei UI"/>
      <family val="2"/>
      <charset val="136"/>
    </font>
    <font>
      <b/>
      <sz val="10"/>
      <color rgb="FFFF0000"/>
      <name val="Microsoft JhengHei UI"/>
      <family val="2"/>
      <charset val="136"/>
    </font>
    <font>
      <b/>
      <sz val="14"/>
      <color theme="9" tint="-0.249977111117893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name val="微軟正黑體"/>
      <family val="2"/>
      <charset val="136"/>
    </font>
    <font>
      <sz val="10"/>
      <name val="Microsoft JhengHei UI"/>
      <family val="2"/>
      <charset val="136"/>
    </font>
    <font>
      <sz val="8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新細明體"/>
      <family val="2"/>
      <charset val="136"/>
      <scheme val="minor"/>
    </font>
    <font>
      <sz val="12"/>
      <color indexed="8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2"/>
      <color theme="1"/>
      <name val="Microsoft JhengHei UI"/>
      <family val="2"/>
      <charset val="136"/>
    </font>
    <font>
      <b/>
      <sz val="12"/>
      <name val="Microsoft JhengHei UI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15">
    <xf numFmtId="0" fontId="0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3" fillId="0" borderId="0"/>
    <xf numFmtId="0" fontId="3" fillId="0" borderId="0"/>
    <xf numFmtId="177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177" fontId="3" fillId="0" borderId="0" applyFont="0" applyFill="0" applyBorder="0" applyAlignment="0" applyProtection="0">
      <alignment vertical="center"/>
    </xf>
    <xf numFmtId="0" fontId="36" fillId="0" borderId="0">
      <alignment vertical="center"/>
    </xf>
  </cellStyleXfs>
  <cellXfs count="144">
    <xf numFmtId="0" fontId="0" fillId="0" borderId="0" xfId="0">
      <alignment vertical="center"/>
    </xf>
    <xf numFmtId="0" fontId="9" fillId="0" borderId="0" xfId="4">
      <alignment vertical="center"/>
    </xf>
    <xf numFmtId="0" fontId="9" fillId="0" borderId="0" xfId="4" applyAlignment="1">
      <alignment horizontal="center" vertical="center"/>
    </xf>
    <xf numFmtId="0" fontId="9" fillId="0" borderId="0" xfId="4" applyAlignment="1">
      <alignment horizontal="left" vertical="center"/>
    </xf>
    <xf numFmtId="180" fontId="9" fillId="0" borderId="0" xfId="4" applyNumberFormat="1" applyAlignment="1">
      <alignment horizontal="center" vertical="center"/>
    </xf>
    <xf numFmtId="179" fontId="9" fillId="0" borderId="0" xfId="4" applyNumberFormat="1">
      <alignment vertical="center"/>
    </xf>
    <xf numFmtId="0" fontId="3" fillId="0" borderId="0" xfId="5">
      <alignment vertical="center"/>
    </xf>
    <xf numFmtId="0" fontId="10" fillId="0" borderId="0" xfId="5" applyFont="1" applyAlignment="1">
      <alignment horizontal="center" vertical="center"/>
    </xf>
    <xf numFmtId="0" fontId="3" fillId="0" borderId="0" xfId="5" applyAlignment="1">
      <alignment horizontal="center" vertical="center"/>
    </xf>
    <xf numFmtId="49" fontId="3" fillId="0" borderId="0" xfId="5" applyNumberFormat="1" applyAlignment="1">
      <alignment horizontal="center" vertical="center"/>
    </xf>
    <xf numFmtId="179" fontId="9" fillId="0" borderId="0" xfId="4" applyNumberFormat="1" applyAlignment="1">
      <alignment horizontal="center" vertical="center"/>
    </xf>
    <xf numFmtId="0" fontId="11" fillId="0" borderId="0" xfId="4" applyFont="1">
      <alignment vertical="center"/>
    </xf>
    <xf numFmtId="0" fontId="14" fillId="0" borderId="0" xfId="4" applyFont="1" applyAlignment="1">
      <alignment horizontal="center" vertical="center"/>
    </xf>
    <xf numFmtId="180" fontId="9" fillId="0" borderId="0" xfId="4" applyNumberFormat="1">
      <alignment vertical="center"/>
    </xf>
    <xf numFmtId="178" fontId="9" fillId="0" borderId="0" xfId="4" applyNumberFormat="1">
      <alignment vertical="center"/>
    </xf>
    <xf numFmtId="179" fontId="3" fillId="0" borderId="0" xfId="5" applyNumberFormat="1" applyAlignment="1">
      <alignment horizontal="center" vertical="center"/>
    </xf>
    <xf numFmtId="178" fontId="3" fillId="0" borderId="0" xfId="5" applyNumberFormat="1">
      <alignment vertical="center"/>
    </xf>
    <xf numFmtId="0" fontId="8" fillId="0" borderId="0" xfId="0" applyFont="1" applyAlignment="1"/>
    <xf numFmtId="0" fontId="15" fillId="0" borderId="0" xfId="0" applyFont="1" applyAlignment="1"/>
    <xf numFmtId="0" fontId="12" fillId="0" borderId="0" xfId="4" applyFont="1" applyAlignment="1">
      <alignment horizontal="center" vertical="center"/>
    </xf>
    <xf numFmtId="181" fontId="5" fillId="5" borderId="2" xfId="0" applyNumberFormat="1" applyFont="1" applyFill="1" applyBorder="1" applyAlignment="1">
      <alignment horizontal="center" vertical="center"/>
    </xf>
    <xf numFmtId="181" fontId="6" fillId="5" borderId="2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 wrapText="1"/>
    </xf>
    <xf numFmtId="176" fontId="6" fillId="4" borderId="1" xfId="0" applyNumberFormat="1" applyFont="1" applyFill="1" applyBorder="1" applyAlignment="1">
      <alignment vertical="center" wrapText="1"/>
    </xf>
    <xf numFmtId="0" fontId="6" fillId="3" borderId="1" xfId="0" applyFont="1" applyFill="1" applyBorder="1">
      <alignment vertical="center"/>
    </xf>
    <xf numFmtId="177" fontId="6" fillId="7" borderId="1" xfId="0" applyNumberFormat="1" applyFont="1" applyFill="1" applyBorder="1">
      <alignment vertical="center"/>
    </xf>
    <xf numFmtId="0" fontId="11" fillId="0" borderId="0" xfId="4" applyFont="1" applyAlignment="1">
      <alignment horizontal="center" vertical="center"/>
    </xf>
    <xf numFmtId="179" fontId="12" fillId="5" borderId="1" xfId="4" applyNumberFormat="1" applyFont="1" applyFill="1" applyBorder="1" applyAlignment="1">
      <alignment horizontal="center" vertical="center"/>
    </xf>
    <xf numFmtId="179" fontId="12" fillId="5" borderId="1" xfId="4" applyNumberFormat="1" applyFont="1" applyFill="1" applyBorder="1">
      <alignment vertical="center"/>
    </xf>
    <xf numFmtId="0" fontId="22" fillId="0" borderId="0" xfId="4" applyFont="1">
      <alignment vertical="center"/>
    </xf>
    <xf numFmtId="49" fontId="10" fillId="0" borderId="0" xfId="5" applyNumberFormat="1" applyFont="1" applyAlignment="1">
      <alignment horizontal="center" vertical="center"/>
    </xf>
    <xf numFmtId="179" fontId="10" fillId="0" borderId="0" xfId="5" applyNumberFormat="1" applyFont="1">
      <alignment vertical="center"/>
    </xf>
    <xf numFmtId="179" fontId="10" fillId="0" borderId="0" xfId="5" applyNumberFormat="1" applyFont="1" applyAlignment="1">
      <alignment horizontal="center" vertical="center"/>
    </xf>
    <xf numFmtId="0" fontId="10" fillId="0" borderId="0" xfId="5" applyFont="1">
      <alignment vertical="center"/>
    </xf>
    <xf numFmtId="0" fontId="0" fillId="0" borderId="0" xfId="0" applyAlignment="1">
      <alignment horizontal="center" vertical="center"/>
    </xf>
    <xf numFmtId="0" fontId="8" fillId="2" borderId="1" xfId="0" applyFont="1" applyFill="1" applyBorder="1" applyAlignment="1"/>
    <xf numFmtId="0" fontId="8" fillId="0" borderId="1" xfId="0" applyFont="1" applyBorder="1" applyAlignment="1"/>
    <xf numFmtId="179" fontId="30" fillId="0" borderId="9" xfId="2" applyNumberFormat="1" applyFont="1" applyFill="1" applyBorder="1" applyAlignment="1">
      <alignment horizontal="right" vertical="center"/>
    </xf>
    <xf numFmtId="178" fontId="30" fillId="0" borderId="9" xfId="2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wrapText="1"/>
    </xf>
    <xf numFmtId="179" fontId="30" fillId="0" borderId="9" xfId="0" applyNumberFormat="1" applyFont="1" applyBorder="1" applyAlignment="1">
      <alignment horizontal="right"/>
    </xf>
    <xf numFmtId="178" fontId="30" fillId="0" borderId="9" xfId="1" applyNumberFormat="1" applyFont="1" applyBorder="1" applyAlignment="1">
      <alignment horizontal="right" vertical="center"/>
    </xf>
    <xf numFmtId="179" fontId="8" fillId="0" borderId="9" xfId="3" applyNumberFormat="1" applyFont="1" applyBorder="1">
      <alignment vertical="center"/>
    </xf>
    <xf numFmtId="0" fontId="6" fillId="0" borderId="11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/>
    </xf>
    <xf numFmtId="179" fontId="8" fillId="2" borderId="9" xfId="4" applyNumberFormat="1" applyFont="1" applyFill="1" applyBorder="1" applyAlignment="1">
      <alignment horizontal="center" vertical="center"/>
    </xf>
    <xf numFmtId="179" fontId="8" fillId="0" borderId="9" xfId="5" applyNumberFormat="1" applyFont="1" applyBorder="1">
      <alignment vertical="center"/>
    </xf>
    <xf numFmtId="0" fontId="6" fillId="3" borderId="12" xfId="0" applyFont="1" applyFill="1" applyBorder="1" applyAlignment="1">
      <alignment horizontal="center"/>
    </xf>
    <xf numFmtId="0" fontId="8" fillId="3" borderId="1" xfId="0" applyFont="1" applyFill="1" applyBorder="1" applyAlignment="1"/>
    <xf numFmtId="179" fontId="30" fillId="0" borderId="9" xfId="1" applyNumberFormat="1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179" fontId="8" fillId="0" borderId="9" xfId="1" applyNumberFormat="1" applyFont="1" applyBorder="1" applyAlignment="1">
      <alignment horizontal="right" vertical="center"/>
    </xf>
    <xf numFmtId="0" fontId="6" fillId="11" borderId="12" xfId="0" applyFont="1" applyFill="1" applyBorder="1" applyAlignment="1">
      <alignment horizontal="center"/>
    </xf>
    <xf numFmtId="0" fontId="33" fillId="11" borderId="1" xfId="0" applyFont="1" applyFill="1" applyBorder="1" applyAlignment="1"/>
    <xf numFmtId="179" fontId="33" fillId="11" borderId="9" xfId="2" applyNumberFormat="1" applyFont="1" applyFill="1" applyBorder="1" applyAlignment="1">
      <alignment horizontal="right" vertical="center"/>
    </xf>
    <xf numFmtId="0" fontId="6" fillId="0" borderId="8" xfId="0" applyFont="1" applyBorder="1" applyAlignment="1">
      <alignment horizontal="center"/>
    </xf>
    <xf numFmtId="0" fontId="8" fillId="0" borderId="13" xfId="0" applyFont="1" applyBorder="1" applyAlignment="1"/>
    <xf numFmtId="179" fontId="8" fillId="0" borderId="14" xfId="0" applyNumberFormat="1" applyFont="1" applyBorder="1" applyAlignment="1">
      <alignment horizontal="right"/>
    </xf>
    <xf numFmtId="0" fontId="6" fillId="4" borderId="15" xfId="0" applyFont="1" applyFill="1" applyBorder="1" applyAlignment="1">
      <alignment horizontal="center"/>
    </xf>
    <xf numFmtId="0" fontId="8" fillId="4" borderId="16" xfId="0" applyFont="1" applyFill="1" applyBorder="1" applyAlignment="1"/>
    <xf numFmtId="179" fontId="8" fillId="8" borderId="17" xfId="0" applyNumberFormat="1" applyFont="1" applyFill="1" applyBorder="1" applyAlignment="1">
      <alignment horizontal="right"/>
    </xf>
    <xf numFmtId="0" fontId="6" fillId="0" borderId="18" xfId="0" applyFont="1" applyBorder="1" applyAlignment="1">
      <alignment horizontal="center" vertical="center"/>
    </xf>
    <xf numFmtId="0" fontId="19" fillId="0" borderId="13" xfId="4" applyFont="1" applyBorder="1" applyAlignment="1">
      <alignment horizontal="center" vertical="center" wrapText="1"/>
    </xf>
    <xf numFmtId="0" fontId="21" fillId="0" borderId="13" xfId="4" applyFont="1" applyBorder="1" applyAlignment="1">
      <alignment horizontal="center" vertical="center" wrapText="1"/>
    </xf>
    <xf numFmtId="49" fontId="19" fillId="0" borderId="13" xfId="4" applyNumberFormat="1" applyFont="1" applyBorder="1" applyAlignment="1">
      <alignment horizontal="center" vertical="center" wrapText="1"/>
    </xf>
    <xf numFmtId="179" fontId="21" fillId="0" borderId="13" xfId="4" applyNumberFormat="1" applyFont="1" applyBorder="1" applyAlignment="1">
      <alignment horizontal="center" vertical="center" wrapText="1"/>
    </xf>
    <xf numFmtId="180" fontId="19" fillId="0" borderId="13" xfId="4" applyNumberFormat="1" applyFont="1" applyBorder="1" applyAlignment="1">
      <alignment horizontal="center" vertical="center" wrapText="1"/>
    </xf>
    <xf numFmtId="180" fontId="19" fillId="8" borderId="13" xfId="4" applyNumberFormat="1" applyFont="1" applyFill="1" applyBorder="1" applyAlignment="1">
      <alignment horizontal="center" vertical="center" wrapText="1"/>
    </xf>
    <xf numFmtId="180" fontId="25" fillId="0" borderId="13" xfId="4" applyNumberFormat="1" applyFont="1" applyBorder="1" applyAlignment="1">
      <alignment horizontal="center" vertical="center" wrapText="1"/>
    </xf>
    <xf numFmtId="178" fontId="19" fillId="0" borderId="13" xfId="4" applyNumberFormat="1" applyFont="1" applyBorder="1" applyAlignment="1">
      <alignment horizontal="center" vertical="center" wrapText="1"/>
    </xf>
    <xf numFmtId="179" fontId="26" fillId="0" borderId="13" xfId="13" applyNumberFormat="1" applyFont="1" applyFill="1" applyBorder="1" applyAlignment="1">
      <alignment horizontal="center" vertical="center" wrapText="1"/>
    </xf>
    <xf numFmtId="179" fontId="21" fillId="9" borderId="13" xfId="4" applyNumberFormat="1" applyFont="1" applyFill="1" applyBorder="1" applyAlignment="1">
      <alignment horizontal="center" vertical="center" wrapText="1"/>
    </xf>
    <xf numFmtId="14" fontId="21" fillId="0" borderId="13" xfId="4" applyNumberFormat="1" applyFont="1" applyBorder="1" applyAlignment="1">
      <alignment horizontal="center" vertical="center" wrapText="1"/>
    </xf>
    <xf numFmtId="182" fontId="21" fillId="0" borderId="13" xfId="4" applyNumberFormat="1" applyFont="1" applyBorder="1" applyAlignment="1">
      <alignment horizontal="center" vertical="center" wrapText="1"/>
    </xf>
    <xf numFmtId="0" fontId="21" fillId="0" borderId="13" xfId="4" applyFont="1" applyBorder="1" applyAlignment="1">
      <alignment horizontal="center" vertical="center"/>
    </xf>
    <xf numFmtId="179" fontId="21" fillId="0" borderId="13" xfId="4" applyNumberFormat="1" applyFont="1" applyBorder="1" applyAlignment="1">
      <alignment horizontal="center" vertical="center"/>
    </xf>
    <xf numFmtId="179" fontId="27" fillId="10" borderId="13" xfId="4" applyNumberFormat="1" applyFont="1" applyFill="1" applyBorder="1" applyAlignment="1">
      <alignment horizontal="center" vertical="center"/>
    </xf>
    <xf numFmtId="176" fontId="31" fillId="0" borderId="9" xfId="1" applyNumberFormat="1" applyFont="1" applyBorder="1" applyAlignment="1">
      <alignment horizontal="center" vertical="center"/>
    </xf>
    <xf numFmtId="179" fontId="30" fillId="0" borderId="9" xfId="2" applyNumberFormat="1" applyFont="1" applyBorder="1" applyAlignment="1">
      <alignment horizontal="right" vertical="center"/>
    </xf>
    <xf numFmtId="179" fontId="25" fillId="0" borderId="13" xfId="4" applyNumberFormat="1" applyFont="1" applyBorder="1" applyAlignment="1">
      <alignment horizontal="center" vertical="center" wrapText="1"/>
    </xf>
    <xf numFmtId="179" fontId="21" fillId="0" borderId="21" xfId="4" applyNumberFormat="1" applyFont="1" applyBorder="1" applyAlignment="1">
      <alignment horizontal="center" vertical="center"/>
    </xf>
    <xf numFmtId="179" fontId="19" fillId="0" borderId="13" xfId="4" applyNumberFormat="1" applyFont="1" applyBorder="1" applyAlignment="1">
      <alignment horizontal="center" vertical="center" wrapText="1"/>
    </xf>
    <xf numFmtId="180" fontId="10" fillId="0" borderId="0" xfId="5" applyNumberFormat="1" applyFont="1" applyAlignment="1">
      <alignment horizontal="center" vertical="center"/>
    </xf>
    <xf numFmtId="182" fontId="10" fillId="0" borderId="0" xfId="5" applyNumberFormat="1" applyFont="1" applyAlignment="1">
      <alignment horizontal="center" vertical="center"/>
    </xf>
    <xf numFmtId="0" fontId="37" fillId="0" borderId="0" xfId="5" applyFont="1">
      <alignment vertical="center"/>
    </xf>
    <xf numFmtId="181" fontId="37" fillId="0" borderId="0" xfId="5" applyNumberFormat="1" applyFont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183" fontId="39" fillId="0" borderId="6" xfId="1" applyNumberFormat="1" applyFont="1" applyBorder="1" applyAlignment="1">
      <alignment horizontal="center" vertical="center"/>
    </xf>
    <xf numFmtId="183" fontId="38" fillId="0" borderId="7" xfId="1" applyNumberFormat="1" applyFont="1" applyBorder="1" applyAlignment="1">
      <alignment horizontal="center" vertical="center"/>
    </xf>
    <xf numFmtId="186" fontId="37" fillId="0" borderId="0" xfId="5" applyNumberFormat="1" applyFont="1" applyAlignment="1">
      <alignment horizontal="center" vertical="center"/>
    </xf>
    <xf numFmtId="182" fontId="10" fillId="0" borderId="0" xfId="5" applyNumberFormat="1" applyFont="1">
      <alignment vertical="center"/>
    </xf>
    <xf numFmtId="184" fontId="10" fillId="0" borderId="0" xfId="5" applyNumberFormat="1" applyFont="1">
      <alignment vertical="center"/>
    </xf>
    <xf numFmtId="49" fontId="10" fillId="0" borderId="0" xfId="5" applyNumberFormat="1" applyFont="1">
      <alignment vertical="center"/>
    </xf>
    <xf numFmtId="178" fontId="10" fillId="0" borderId="0" xfId="5" applyNumberFormat="1" applyFont="1">
      <alignment vertical="center"/>
    </xf>
    <xf numFmtId="38" fontId="10" fillId="0" borderId="0" xfId="5" applyNumberFormat="1" applyFont="1">
      <alignment vertical="center"/>
    </xf>
    <xf numFmtId="187" fontId="10" fillId="0" borderId="0" xfId="5" applyNumberFormat="1" applyFont="1">
      <alignment vertical="center"/>
    </xf>
    <xf numFmtId="0" fontId="10" fillId="0" borderId="1" xfId="5" applyFont="1" applyBorder="1" applyAlignment="1">
      <alignment horizontal="center" vertical="center"/>
    </xf>
    <xf numFmtId="176" fontId="10" fillId="0" borderId="0" xfId="5" applyNumberFormat="1" applyFont="1">
      <alignment vertical="center"/>
    </xf>
    <xf numFmtId="177" fontId="10" fillId="0" borderId="0" xfId="5" applyNumberFormat="1" applyFont="1">
      <alignment vertical="center"/>
    </xf>
    <xf numFmtId="185" fontId="10" fillId="0" borderId="0" xfId="5" applyNumberFormat="1" applyFont="1" applyAlignment="1">
      <alignment horizontal="center" vertical="center"/>
    </xf>
    <xf numFmtId="49" fontId="10" fillId="0" borderId="1" xfId="5" applyNumberFormat="1" applyFont="1" applyBorder="1" applyAlignment="1">
      <alignment horizontal="center" vertical="center"/>
    </xf>
    <xf numFmtId="176" fontId="10" fillId="0" borderId="1" xfId="5" applyNumberFormat="1" applyFont="1" applyBorder="1">
      <alignment vertical="center"/>
    </xf>
    <xf numFmtId="177" fontId="10" fillId="0" borderId="1" xfId="5" applyNumberFormat="1" applyFont="1" applyBorder="1">
      <alignment vertical="center"/>
    </xf>
    <xf numFmtId="179" fontId="10" fillId="0" borderId="1" xfId="5" applyNumberFormat="1" applyFont="1" applyBorder="1">
      <alignment vertical="center"/>
    </xf>
    <xf numFmtId="179" fontId="10" fillId="0" borderId="1" xfId="5" applyNumberFormat="1" applyFont="1" applyBorder="1" applyAlignment="1">
      <alignment horizontal="center" vertical="center"/>
    </xf>
    <xf numFmtId="180" fontId="10" fillId="0" borderId="1" xfId="5" applyNumberFormat="1" applyFont="1" applyBorder="1" applyAlignment="1">
      <alignment horizontal="center" vertical="center"/>
    </xf>
    <xf numFmtId="182" fontId="10" fillId="0" borderId="1" xfId="5" applyNumberFormat="1" applyFont="1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textRotation="255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2" fontId="10" fillId="0" borderId="1" xfId="5" applyNumberFormat="1" applyFont="1" applyBorder="1" applyAlignment="1">
      <alignment horizontal="center" vertical="center"/>
    </xf>
    <xf numFmtId="179" fontId="12" fillId="0" borderId="0" xfId="4" applyNumberFormat="1" applyFont="1" applyAlignment="1">
      <alignment horizontal="left" vertical="center"/>
    </xf>
    <xf numFmtId="179" fontId="12" fillId="0" borderId="0" xfId="4" applyNumberFormat="1" applyFont="1" applyAlignment="1">
      <alignment horizontal="center" vertical="center"/>
    </xf>
    <xf numFmtId="180" fontId="12" fillId="0" borderId="0" xfId="4" applyNumberFormat="1" applyFont="1" applyAlignment="1">
      <alignment horizontal="center" vertical="center"/>
    </xf>
    <xf numFmtId="179" fontId="12" fillId="0" borderId="0" xfId="4" applyNumberFormat="1" applyFont="1">
      <alignment vertical="center"/>
    </xf>
    <xf numFmtId="14" fontId="12" fillId="0" borderId="0" xfId="4" applyNumberFormat="1" applyFont="1" applyAlignment="1">
      <alignment horizontal="center" vertical="center"/>
    </xf>
    <xf numFmtId="0" fontId="12" fillId="0" borderId="0" xfId="4" applyFont="1" applyAlignment="1">
      <alignment horizontal="left" vertical="center"/>
    </xf>
    <xf numFmtId="0" fontId="12" fillId="0" borderId="0" xfId="4" applyFont="1">
      <alignment vertical="center"/>
    </xf>
    <xf numFmtId="0" fontId="26" fillId="0" borderId="0" xfId="0" applyFont="1" applyAlignment="1">
      <alignment vertical="center" wrapText="1"/>
    </xf>
    <xf numFmtId="0" fontId="19" fillId="2" borderId="2" xfId="4" applyFont="1" applyFill="1" applyBorder="1" applyAlignment="1">
      <alignment horizontal="center" vertical="center"/>
    </xf>
    <xf numFmtId="0" fontId="19" fillId="2" borderId="3" xfId="4" applyFont="1" applyFill="1" applyBorder="1" applyAlignment="1">
      <alignment horizontal="center" vertical="center"/>
    </xf>
    <xf numFmtId="0" fontId="19" fillId="2" borderId="4" xfId="4" applyFont="1" applyFill="1" applyBorder="1" applyAlignment="1">
      <alignment horizontal="center" vertical="center"/>
    </xf>
    <xf numFmtId="0" fontId="19" fillId="4" borderId="2" xfId="4" applyFont="1" applyFill="1" applyBorder="1" applyAlignment="1">
      <alignment horizontal="center" vertical="center"/>
    </xf>
    <xf numFmtId="0" fontId="19" fillId="4" borderId="3" xfId="4" applyFont="1" applyFill="1" applyBorder="1" applyAlignment="1">
      <alignment horizontal="center" vertical="center"/>
    </xf>
    <xf numFmtId="0" fontId="19" fillId="4" borderId="4" xfId="4" applyFont="1" applyFill="1" applyBorder="1" applyAlignment="1">
      <alignment horizontal="center" vertical="center"/>
    </xf>
    <xf numFmtId="0" fontId="21" fillId="3" borderId="2" xfId="4" applyFont="1" applyFill="1" applyBorder="1" applyAlignment="1">
      <alignment horizontal="center" vertical="center"/>
    </xf>
    <xf numFmtId="0" fontId="21" fillId="3" borderId="3" xfId="4" applyFont="1" applyFill="1" applyBorder="1" applyAlignment="1">
      <alignment horizontal="center" vertical="center"/>
    </xf>
    <xf numFmtId="0" fontId="21" fillId="3" borderId="4" xfId="4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4" fillId="0" borderId="19" xfId="0" applyFont="1" applyBorder="1" applyAlignment="1">
      <alignment vertical="center" wrapText="1"/>
    </xf>
    <xf numFmtId="0" fontId="35" fillId="0" borderId="20" xfId="0" applyFont="1" applyBorder="1" applyAlignment="1">
      <alignment vertical="center" wrapText="1"/>
    </xf>
    <xf numFmtId="0" fontId="5" fillId="0" borderId="2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>
      <alignment vertical="center"/>
    </xf>
    <xf numFmtId="0" fontId="17" fillId="5" borderId="2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5">
    <cellStyle name="一般" xfId="0" builtinId="0"/>
    <cellStyle name="一般 11" xfId="7" xr:uid="{7FCE9560-012E-4986-90FC-42DCF019851C}"/>
    <cellStyle name="一般 13" xfId="8" xr:uid="{685C8DA5-D80F-4B5D-AD5D-2948B06CB109}"/>
    <cellStyle name="一般 2" xfId="4" xr:uid="{61654DC7-111B-4046-A929-8053B060503A}"/>
    <cellStyle name="一般 2 2 2" xfId="14" xr:uid="{DE488AC7-DFB0-4467-B0F1-DE6C40BAB152}"/>
    <cellStyle name="一般 3" xfId="1" xr:uid="{BB44780C-6290-4354-9E68-36CCB366A8C9}"/>
    <cellStyle name="一般 4" xfId="9" xr:uid="{5C5DD100-AA3A-41F3-A3E0-CC2260728995}"/>
    <cellStyle name="一般 5" xfId="11" xr:uid="{97E5FFDB-7A8C-40E2-B1BF-43B444067134}"/>
    <cellStyle name="一般 6" xfId="12" xr:uid="{8A2DECA9-A2F7-4315-B5A1-44B29935647D}"/>
    <cellStyle name="一般 7" xfId="3" xr:uid="{B0B1E50A-5641-45EB-AABE-BC44047D7144}"/>
    <cellStyle name="一般 7 2" xfId="6" xr:uid="{ADBDF8CE-A1ED-4FF3-A385-BE704FB0E5FD}"/>
    <cellStyle name="一般 9 2" xfId="5" xr:uid="{EF4360E6-29D3-4D43-80CE-E2C730E363F8}"/>
    <cellStyle name="貨幣 2" xfId="2" xr:uid="{30D92C4F-615E-4050-A75A-9433CB7403C6}"/>
    <cellStyle name="貨幣 3" xfId="10" xr:uid="{229D0A2D-D000-49F8-ADE9-32D28CDECC88}"/>
    <cellStyle name="貨幣 4" xfId="13" xr:uid="{5CCE0781-E817-46FB-885B-0D9565860E88}"/>
  </cellStyles>
  <dxfs count="0"/>
  <tableStyles count="0" defaultTableStyle="TableStyleMedium2" defaultPivotStyle="PivotStyleLight16"/>
  <colors>
    <mruColors>
      <color rgb="FFFFC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929640</xdr:colOff>
      <xdr:row>3</xdr:row>
      <xdr:rowOff>1270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4F940A8-BE00-435E-B9E1-66832B309FD5}"/>
            </a:ext>
          </a:extLst>
        </xdr:cNvPr>
        <xdr:cNvSpPr/>
      </xdr:nvSpPr>
      <xdr:spPr>
        <a:xfrm>
          <a:off x="0" y="0"/>
          <a:ext cx="4579620" cy="549910"/>
        </a:xfrm>
        <a:prstGeom prst="rect">
          <a:avLst/>
        </a:prstGeom>
        <a:solidFill>
          <a:schemeClr val="accent6">
            <a:lumMod val="7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459740</xdr:colOff>
      <xdr:row>0</xdr:row>
      <xdr:rowOff>0</xdr:rowOff>
    </xdr:from>
    <xdr:to>
      <xdr:col>2</xdr:col>
      <xdr:colOff>1380490</xdr:colOff>
      <xdr:row>2</xdr:row>
      <xdr:rowOff>140970</xdr:rowOff>
    </xdr:to>
    <xdr:sp macro="" textlink="">
      <xdr:nvSpPr>
        <xdr:cNvPr id="3" name="平行四邊形 2">
          <a:extLst>
            <a:ext uri="{FF2B5EF4-FFF2-40B4-BE49-F238E27FC236}">
              <a16:creationId xmlns:a16="http://schemas.microsoft.com/office/drawing/2014/main" id="{01307123-97AE-4222-ABC6-38DEFA75A791}"/>
            </a:ext>
          </a:extLst>
        </xdr:cNvPr>
        <xdr:cNvSpPr/>
      </xdr:nvSpPr>
      <xdr:spPr>
        <a:xfrm>
          <a:off x="4109720" y="0"/>
          <a:ext cx="920750" cy="544830"/>
        </a:xfrm>
        <a:prstGeom prst="parallelogram">
          <a:avLst>
            <a:gd name="adj" fmla="val 77809"/>
          </a:avLst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/>
        </a:p>
      </xdr:txBody>
    </xdr:sp>
    <xdr:clientData/>
  </xdr:twoCellAnchor>
  <xdr:twoCellAnchor>
    <xdr:from>
      <xdr:col>2</xdr:col>
      <xdr:colOff>1049020</xdr:colOff>
      <xdr:row>0</xdr:row>
      <xdr:rowOff>0</xdr:rowOff>
    </xdr:from>
    <xdr:to>
      <xdr:col>3</xdr:col>
      <xdr:colOff>13970</xdr:colOff>
      <xdr:row>2</xdr:row>
      <xdr:rowOff>140970</xdr:rowOff>
    </xdr:to>
    <xdr:sp macro="" textlink="">
      <xdr:nvSpPr>
        <xdr:cNvPr id="4" name="平行四邊形 3">
          <a:extLst>
            <a:ext uri="{FF2B5EF4-FFF2-40B4-BE49-F238E27FC236}">
              <a16:creationId xmlns:a16="http://schemas.microsoft.com/office/drawing/2014/main" id="{02CF7F3F-ED28-4A8C-9954-045EDC8E1933}"/>
            </a:ext>
          </a:extLst>
        </xdr:cNvPr>
        <xdr:cNvSpPr/>
      </xdr:nvSpPr>
      <xdr:spPr>
        <a:xfrm>
          <a:off x="4699000" y="0"/>
          <a:ext cx="527050" cy="544830"/>
        </a:xfrm>
        <a:prstGeom prst="parallelogram">
          <a:avLst>
            <a:gd name="adj" fmla="val 80475"/>
          </a:avLst>
        </a:prstGeom>
        <a:solidFill>
          <a:srgbClr val="92D050"/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endParaRPr lang="zh-TW" sz="12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571911</xdr:colOff>
      <xdr:row>0</xdr:row>
      <xdr:rowOff>71120</xdr:rowOff>
    </xdr:from>
    <xdr:to>
      <xdr:col>0</xdr:col>
      <xdr:colOff>1004346</xdr:colOff>
      <xdr:row>2</xdr:row>
      <xdr:rowOff>91440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CBB547-1DCD-453F-87E9-2C8916368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911" y="71120"/>
          <a:ext cx="432435" cy="431800"/>
        </a:xfrm>
        <a:prstGeom prst="rect">
          <a:avLst/>
        </a:prstGeom>
      </xdr:spPr>
    </xdr:pic>
    <xdr:clientData/>
  </xdr:twoCellAnchor>
  <xdr:twoCellAnchor>
    <xdr:from>
      <xdr:col>0</xdr:col>
      <xdr:colOff>1011675</xdr:colOff>
      <xdr:row>0</xdr:row>
      <xdr:rowOff>47520</xdr:rowOff>
    </xdr:from>
    <xdr:to>
      <xdr:col>2</xdr:col>
      <xdr:colOff>1080255</xdr:colOff>
      <xdr:row>2</xdr:row>
      <xdr:rowOff>92642</xdr:rowOff>
    </xdr:to>
    <xdr:sp macro="" textlink="">
      <xdr:nvSpPr>
        <xdr:cNvPr id="6" name="文字方塊 2">
          <a:extLst>
            <a:ext uri="{FF2B5EF4-FFF2-40B4-BE49-F238E27FC236}">
              <a16:creationId xmlns:a16="http://schemas.microsoft.com/office/drawing/2014/main" id="{DB5135A6-4768-4F3A-89DD-64F4B7C97C94}"/>
            </a:ext>
          </a:extLst>
        </xdr:cNvPr>
        <xdr:cNvSpPr txBox="1">
          <a:spLocks noChangeArrowheads="1"/>
        </xdr:cNvSpPr>
      </xdr:nvSpPr>
      <xdr:spPr bwMode="auto">
        <a:xfrm>
          <a:off x="1011675" y="47520"/>
          <a:ext cx="3718560" cy="4566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zh-TW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五棵松居家長照</a:t>
          </a:r>
          <a:r>
            <a:rPr lang="zh-TW" altLang="en-US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居服薪資明細</a:t>
          </a:r>
          <a:endParaRPr lang="zh-TW" sz="18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929640</xdr:colOff>
      <xdr:row>3</xdr:row>
      <xdr:rowOff>1270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2602E04-F350-4655-A368-87A627BA7F97}"/>
            </a:ext>
          </a:extLst>
        </xdr:cNvPr>
        <xdr:cNvSpPr/>
      </xdr:nvSpPr>
      <xdr:spPr>
        <a:xfrm>
          <a:off x="0" y="0"/>
          <a:ext cx="1920240" cy="629920"/>
        </a:xfrm>
        <a:prstGeom prst="rect">
          <a:avLst/>
        </a:prstGeom>
        <a:solidFill>
          <a:schemeClr val="accent6">
            <a:lumMod val="7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459740</xdr:colOff>
      <xdr:row>0</xdr:row>
      <xdr:rowOff>0</xdr:rowOff>
    </xdr:from>
    <xdr:to>
      <xdr:col>2</xdr:col>
      <xdr:colOff>1380490</xdr:colOff>
      <xdr:row>2</xdr:row>
      <xdr:rowOff>140970</xdr:rowOff>
    </xdr:to>
    <xdr:sp macro="" textlink="">
      <xdr:nvSpPr>
        <xdr:cNvPr id="3" name="平行四邊形 2">
          <a:extLst>
            <a:ext uri="{FF2B5EF4-FFF2-40B4-BE49-F238E27FC236}">
              <a16:creationId xmlns:a16="http://schemas.microsoft.com/office/drawing/2014/main" id="{34047EC3-B5FC-4DFC-8ED5-CDA72487B983}"/>
            </a:ext>
          </a:extLst>
        </xdr:cNvPr>
        <xdr:cNvSpPr/>
      </xdr:nvSpPr>
      <xdr:spPr>
        <a:xfrm>
          <a:off x="1739900" y="0"/>
          <a:ext cx="181610" cy="560070"/>
        </a:xfrm>
        <a:prstGeom prst="parallelogram">
          <a:avLst>
            <a:gd name="adj" fmla="val 77809"/>
          </a:avLst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/>
        </a:p>
      </xdr:txBody>
    </xdr:sp>
    <xdr:clientData/>
  </xdr:twoCellAnchor>
  <xdr:twoCellAnchor>
    <xdr:from>
      <xdr:col>2</xdr:col>
      <xdr:colOff>1049020</xdr:colOff>
      <xdr:row>0</xdr:row>
      <xdr:rowOff>0</xdr:rowOff>
    </xdr:from>
    <xdr:to>
      <xdr:col>3</xdr:col>
      <xdr:colOff>13970</xdr:colOff>
      <xdr:row>2</xdr:row>
      <xdr:rowOff>140970</xdr:rowOff>
    </xdr:to>
    <xdr:sp macro="" textlink="">
      <xdr:nvSpPr>
        <xdr:cNvPr id="4" name="平行四邊形 3">
          <a:extLst>
            <a:ext uri="{FF2B5EF4-FFF2-40B4-BE49-F238E27FC236}">
              <a16:creationId xmlns:a16="http://schemas.microsoft.com/office/drawing/2014/main" id="{EE87F654-E0C1-4418-B0BA-9D5E31758B3C}"/>
            </a:ext>
          </a:extLst>
        </xdr:cNvPr>
        <xdr:cNvSpPr/>
      </xdr:nvSpPr>
      <xdr:spPr>
        <a:xfrm>
          <a:off x="1921510" y="0"/>
          <a:ext cx="12700" cy="560070"/>
        </a:xfrm>
        <a:prstGeom prst="parallelogram">
          <a:avLst>
            <a:gd name="adj" fmla="val 80475"/>
          </a:avLst>
        </a:prstGeom>
        <a:solidFill>
          <a:srgbClr val="92D050"/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endParaRPr lang="zh-TW" sz="12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571911</xdr:colOff>
      <xdr:row>0</xdr:row>
      <xdr:rowOff>71120</xdr:rowOff>
    </xdr:from>
    <xdr:to>
      <xdr:col>0</xdr:col>
      <xdr:colOff>1004346</xdr:colOff>
      <xdr:row>2</xdr:row>
      <xdr:rowOff>91440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64B1661-0935-4197-B011-A60D40909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911" y="71120"/>
          <a:ext cx="66675" cy="439420"/>
        </a:xfrm>
        <a:prstGeom prst="rect">
          <a:avLst/>
        </a:prstGeom>
      </xdr:spPr>
    </xdr:pic>
    <xdr:clientData/>
  </xdr:twoCellAnchor>
  <xdr:twoCellAnchor>
    <xdr:from>
      <xdr:col>0</xdr:col>
      <xdr:colOff>1011675</xdr:colOff>
      <xdr:row>0</xdr:row>
      <xdr:rowOff>47520</xdr:rowOff>
    </xdr:from>
    <xdr:to>
      <xdr:col>2</xdr:col>
      <xdr:colOff>1080255</xdr:colOff>
      <xdr:row>2</xdr:row>
      <xdr:rowOff>92642</xdr:rowOff>
    </xdr:to>
    <xdr:sp macro="" textlink="">
      <xdr:nvSpPr>
        <xdr:cNvPr id="6" name="文字方塊 2">
          <a:extLst>
            <a:ext uri="{FF2B5EF4-FFF2-40B4-BE49-F238E27FC236}">
              <a16:creationId xmlns:a16="http://schemas.microsoft.com/office/drawing/2014/main" id="{3D2D1EAC-EEFF-4D8A-9F39-1A7EACE69DF7}"/>
            </a:ext>
          </a:extLst>
        </xdr:cNvPr>
        <xdr:cNvSpPr txBox="1">
          <a:spLocks noChangeArrowheads="1"/>
        </xdr:cNvSpPr>
      </xdr:nvSpPr>
      <xdr:spPr bwMode="auto">
        <a:xfrm>
          <a:off x="1011675" y="47520"/>
          <a:ext cx="3923404" cy="4664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zh-TW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五棵松居家長照</a:t>
          </a:r>
          <a:r>
            <a:rPr lang="zh-TW" altLang="en-US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居服薪資明細</a:t>
          </a:r>
          <a:endParaRPr lang="zh-TW" sz="18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4218;&#36039;&#34920;(&#26376;&#34218;)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薪資表(月薪)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BD61-7ADF-467A-B833-3D59DEC1B8D3}">
  <sheetPr codeName="工作表20">
    <tabColor rgb="FFC00000"/>
  </sheetPr>
  <dimension ref="A3:C28"/>
  <sheetViews>
    <sheetView showGridLines="0" zoomScale="85" zoomScaleNormal="85" workbookViewId="0">
      <selection activeCell="E13" sqref="E13"/>
    </sheetView>
  </sheetViews>
  <sheetFormatPr defaultRowHeight="16.5"/>
  <cols>
    <col min="1" max="1" width="22.5234375" style="35" customWidth="1"/>
    <col min="2" max="2" width="30.68359375" customWidth="1"/>
    <col min="3" max="3" width="22.7890625" style="35" customWidth="1"/>
  </cols>
  <sheetData>
    <row r="3" spans="1:3" ht="10.8" customHeight="1"/>
    <row r="4" spans="1:3" ht="20.399999999999999" customHeight="1" thickBot="1">
      <c r="A4" s="130" t="str">
        <f>總表!$A$6</f>
        <v>114年12月</v>
      </c>
      <c r="B4" s="131"/>
      <c r="C4" s="131"/>
    </row>
    <row r="5" spans="1:3" ht="19.2" customHeight="1">
      <c r="A5" s="87" t="str">
        <f>總表!$E$6</f>
        <v>居服員</v>
      </c>
      <c r="B5" s="88" t="str">
        <f>總表!$D$6</f>
        <v>N0174</v>
      </c>
      <c r="C5" s="89" t="str">
        <f>總表!$F$6</f>
        <v>曾馨幼</v>
      </c>
    </row>
    <row r="6" spans="1:3">
      <c r="A6" s="132" t="s">
        <v>41</v>
      </c>
      <c r="B6" s="36" t="s">
        <v>67</v>
      </c>
      <c r="C6" s="50">
        <v>200</v>
      </c>
    </row>
    <row r="7" spans="1:3" ht="18.600000000000001" hidden="1" customHeight="1">
      <c r="A7" s="133"/>
      <c r="B7" s="36" t="s">
        <v>42</v>
      </c>
      <c r="C7" s="78"/>
    </row>
    <row r="8" spans="1:3" ht="18.45" customHeight="1">
      <c r="A8" s="133"/>
      <c r="B8" s="36" t="s">
        <v>43</v>
      </c>
      <c r="C8" s="42">
        <f>總表!$O$6</f>
        <v>111.5</v>
      </c>
    </row>
    <row r="9" spans="1:3" ht="18.45" customHeight="1">
      <c r="A9" s="133"/>
      <c r="B9" s="36" t="s">
        <v>68</v>
      </c>
      <c r="C9" s="38">
        <f>總表!$T$6</f>
        <v>22300</v>
      </c>
    </row>
    <row r="10" spans="1:3" ht="18.45" customHeight="1">
      <c r="A10" s="133"/>
      <c r="B10" s="37" t="s">
        <v>65</v>
      </c>
      <c r="C10" s="38">
        <v>66</v>
      </c>
    </row>
    <row r="11" spans="1:3" ht="18.45" customHeight="1">
      <c r="A11" s="133"/>
      <c r="B11" s="37" t="s">
        <v>44</v>
      </c>
      <c r="C11" s="39">
        <f>總表!$P$6</f>
        <v>0</v>
      </c>
    </row>
    <row r="12" spans="1:3" ht="31.8" customHeight="1">
      <c r="A12" s="133"/>
      <c r="B12" s="40" t="s">
        <v>66</v>
      </c>
      <c r="C12" s="41">
        <v>200</v>
      </c>
    </row>
    <row r="13" spans="1:3" ht="18.45" customHeight="1">
      <c r="A13" s="133"/>
      <c r="B13" s="37" t="s">
        <v>94</v>
      </c>
      <c r="C13" s="42">
        <f>總表!$R$6</f>
        <v>42</v>
      </c>
    </row>
    <row r="14" spans="1:3" ht="18.45" customHeight="1">
      <c r="A14" s="133"/>
      <c r="B14" s="37" t="s">
        <v>64</v>
      </c>
      <c r="C14" s="79">
        <f>總表!$U$6</f>
        <v>16800</v>
      </c>
    </row>
    <row r="15" spans="1:3" ht="18.45" customHeight="1">
      <c r="A15" s="133"/>
      <c r="B15" s="36" t="s">
        <v>45</v>
      </c>
      <c r="C15" s="43">
        <v>50</v>
      </c>
    </row>
    <row r="16" spans="1:3" ht="18.45" customHeight="1">
      <c r="A16" s="134"/>
      <c r="B16" s="36" t="s">
        <v>63</v>
      </c>
      <c r="C16" s="43">
        <f>總表!$V$6</f>
        <v>7675</v>
      </c>
    </row>
    <row r="17" spans="1:3" ht="18.45" customHeight="1">
      <c r="A17" s="44" t="s">
        <v>46</v>
      </c>
      <c r="B17" s="37" t="s">
        <v>47</v>
      </c>
      <c r="C17" s="43">
        <f>總表!$W$6</f>
        <v>0</v>
      </c>
    </row>
    <row r="18" spans="1:3" ht="18.45" customHeight="1">
      <c r="A18" s="45" t="s">
        <v>48</v>
      </c>
      <c r="B18" s="36" t="s">
        <v>49</v>
      </c>
      <c r="C18" s="46">
        <f>總表!$X$6</f>
        <v>46775</v>
      </c>
    </row>
    <row r="19" spans="1:3" ht="18.45" customHeight="1">
      <c r="A19" s="132" t="s">
        <v>50</v>
      </c>
      <c r="B19" s="37" t="s">
        <v>95</v>
      </c>
      <c r="C19" s="43">
        <f>總表!$AA$6</f>
        <v>1145</v>
      </c>
    </row>
    <row r="20" spans="1:3" ht="18.45" customHeight="1">
      <c r="A20" s="133"/>
      <c r="B20" s="37" t="s">
        <v>104</v>
      </c>
      <c r="C20" s="43">
        <f>總表!$AC$6</f>
        <v>1570</v>
      </c>
    </row>
    <row r="21" spans="1:3" ht="18.45" customHeight="1">
      <c r="A21" s="133"/>
      <c r="B21" s="37" t="s">
        <v>62</v>
      </c>
      <c r="C21" s="47">
        <f>總表!$AE$6</f>
        <v>0</v>
      </c>
    </row>
    <row r="22" spans="1:3" ht="18.45" customHeight="1">
      <c r="A22" s="134"/>
      <c r="B22" s="37" t="s">
        <v>61</v>
      </c>
      <c r="C22" s="47">
        <f>總表!$AG$6</f>
        <v>0</v>
      </c>
    </row>
    <row r="23" spans="1:3" ht="18.45" customHeight="1">
      <c r="A23" s="48" t="s">
        <v>51</v>
      </c>
      <c r="B23" s="49" t="s">
        <v>52</v>
      </c>
      <c r="C23" s="50">
        <f>總表!$AH$6</f>
        <v>2715</v>
      </c>
    </row>
    <row r="24" spans="1:3" ht="18.45" customHeight="1">
      <c r="A24" s="51" t="s">
        <v>53</v>
      </c>
      <c r="B24" s="37" t="s">
        <v>54</v>
      </c>
      <c r="C24" s="52">
        <f>總表!$AJ$6</f>
        <v>0</v>
      </c>
    </row>
    <row r="25" spans="1:3" ht="18.45" customHeight="1">
      <c r="A25" s="53" t="s">
        <v>55</v>
      </c>
      <c r="B25" s="54" t="s">
        <v>56</v>
      </c>
      <c r="C25" s="55">
        <f>總表!$AK$6</f>
        <v>44060</v>
      </c>
    </row>
    <row r="26" spans="1:3" ht="18.45" customHeight="1">
      <c r="A26" s="56" t="s">
        <v>57</v>
      </c>
      <c r="B26" s="57" t="s">
        <v>58</v>
      </c>
      <c r="C26" s="58">
        <f>總表!$AL$6</f>
        <v>3036</v>
      </c>
    </row>
    <row r="27" spans="1:3" ht="18.45" customHeight="1" thickBot="1">
      <c r="A27" s="59" t="s">
        <v>59</v>
      </c>
      <c r="B27" s="60"/>
      <c r="C27" s="61">
        <f>C25+C26</f>
        <v>47096</v>
      </c>
    </row>
    <row r="28" spans="1:3" ht="98.7" customHeight="1" thickBot="1">
      <c r="A28" s="62" t="s">
        <v>60</v>
      </c>
      <c r="B28" s="135"/>
      <c r="C28" s="136"/>
    </row>
  </sheetData>
  <sheetProtection selectLockedCells="1" selectUnlockedCells="1"/>
  <mergeCells count="4">
    <mergeCell ref="A4:C4"/>
    <mergeCell ref="A6:A16"/>
    <mergeCell ref="A19:A22"/>
    <mergeCell ref="B28:C28"/>
  </mergeCells>
  <phoneticPr fontId="4" type="noConversion"/>
  <printOptions horizontalCentered="1"/>
  <pageMargins left="1.3779527559055118" right="1.1811023622047245" top="0.98425196850393704" bottom="0.98425196850393704" header="0.51181102362204722" footer="0.51181102362204722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2E91E-6C18-4FC2-9487-EB7608830C51}">
  <sheetPr codeName="工作表10">
    <tabColor theme="6" tint="0.79998168889431442"/>
  </sheetPr>
  <dimension ref="A1:CF8"/>
  <sheetViews>
    <sheetView zoomScale="81" zoomScaleNormal="81" workbookViewId="0">
      <selection sqref="A1:AO1048576"/>
    </sheetView>
  </sheetViews>
  <sheetFormatPr defaultColWidth="8.89453125" defaultRowHeight="16.5"/>
  <cols>
    <col min="1" max="1" width="11" style="7" customWidth="1"/>
    <col min="2" max="2" width="7.3125" style="7" customWidth="1"/>
    <col min="3" max="3" width="12.7890625" style="7" customWidth="1"/>
    <col min="4" max="4" width="8.89453125" style="7"/>
    <col min="5" max="5" width="11.68359375" style="7" customWidth="1"/>
    <col min="6" max="6" width="11.7890625" style="7" customWidth="1"/>
    <col min="7" max="7" width="11.5234375" style="31" customWidth="1"/>
    <col min="8" max="9" width="14.3125" style="7" customWidth="1"/>
    <col min="10" max="10" width="11.1015625" style="32" customWidth="1"/>
    <col min="11" max="11" width="12.7890625" style="32" customWidth="1"/>
    <col min="12" max="12" width="16.41796875" style="32" customWidth="1"/>
    <col min="13" max="13" width="21.20703125" style="32" customWidth="1"/>
    <col min="14" max="14" width="13.89453125" style="33" customWidth="1"/>
    <col min="15" max="15" width="14.20703125" style="7" customWidth="1"/>
    <col min="16" max="16" width="12.89453125" style="7" customWidth="1"/>
    <col min="17" max="17" width="22.68359375" style="7" customWidth="1"/>
    <col min="18" max="18" width="11.89453125" style="7" customWidth="1"/>
    <col min="19" max="19" width="11.7890625" style="7" customWidth="1"/>
    <col min="20" max="20" width="15.7890625" style="32" bestFit="1" customWidth="1"/>
    <col min="21" max="21" width="19.20703125" style="32" customWidth="1"/>
    <col min="22" max="22" width="13.7890625" style="32" customWidth="1"/>
    <col min="23" max="23" width="16.41796875" style="32" customWidth="1"/>
    <col min="24" max="24" width="13.41796875" style="32" customWidth="1"/>
    <col min="25" max="25" width="15.1015625" style="33" customWidth="1"/>
    <col min="26" max="26" width="15" style="7" customWidth="1"/>
    <col min="27" max="27" width="11.3125" style="32" customWidth="1"/>
    <col min="28" max="28" width="15.5234375" style="32" customWidth="1"/>
    <col min="29" max="29" width="11.89453125" style="32" customWidth="1"/>
    <col min="30" max="30" width="9.41796875" style="32" customWidth="1"/>
    <col min="31" max="31" width="10.20703125" style="7" customWidth="1"/>
    <col min="32" max="32" width="13.7890625" style="32" customWidth="1"/>
    <col min="33" max="33" width="12" style="34" customWidth="1"/>
    <col min="34" max="34" width="9.7890625" style="32" customWidth="1"/>
    <col min="35" max="35" width="11.89453125" style="32" bestFit="1" customWidth="1"/>
    <col min="36" max="37" width="11.89453125" style="32" customWidth="1"/>
    <col min="38" max="38" width="13.3125" style="32" bestFit="1" customWidth="1"/>
    <col min="39" max="39" width="11.5234375" style="34" customWidth="1"/>
    <col min="40" max="41" width="8.89453125" style="34"/>
    <col min="42" max="45" width="8.89453125" style="6"/>
    <col min="46" max="49" width="9" style="6" bestFit="1" customWidth="1"/>
    <col min="50" max="16384" width="8.89453125" style="6"/>
  </cols>
  <sheetData>
    <row r="1" spans="1:84" s="1" customFormat="1" ht="13.8">
      <c r="A1" s="27"/>
      <c r="B1" s="19"/>
      <c r="C1" s="19"/>
      <c r="D1" s="19"/>
      <c r="E1" s="19"/>
      <c r="F1" s="19"/>
      <c r="G1" s="19"/>
      <c r="H1" s="19"/>
      <c r="I1" s="19"/>
      <c r="J1" s="113"/>
      <c r="K1" s="113"/>
      <c r="L1" s="113"/>
      <c r="M1" s="113"/>
      <c r="N1" s="114"/>
      <c r="O1" s="115"/>
      <c r="P1" s="115"/>
      <c r="Q1" s="115"/>
      <c r="R1" s="115"/>
      <c r="S1" s="115"/>
      <c r="T1" s="116"/>
      <c r="U1" s="116"/>
      <c r="V1" s="116"/>
      <c r="W1" s="116"/>
      <c r="X1" s="116"/>
      <c r="Y1" s="114"/>
      <c r="Z1" s="117"/>
      <c r="AA1" s="116"/>
      <c r="AB1" s="116"/>
      <c r="AC1" s="116"/>
      <c r="AD1" s="116"/>
      <c r="AE1" s="19"/>
      <c r="AF1" s="116"/>
      <c r="AG1" s="118"/>
      <c r="AH1" s="116"/>
      <c r="AI1" s="116"/>
      <c r="AJ1" s="116"/>
      <c r="AK1" s="116"/>
      <c r="AL1" s="116"/>
      <c r="AM1" s="119"/>
      <c r="AN1" s="119"/>
      <c r="AO1" s="119"/>
    </row>
    <row r="2" spans="1:84" s="1" customFormat="1" ht="15.6" customHeight="1">
      <c r="A2" s="120"/>
      <c r="B2" s="120"/>
      <c r="C2" s="19"/>
      <c r="D2" s="19"/>
      <c r="E2" s="19"/>
      <c r="F2" s="19"/>
      <c r="G2" s="19"/>
      <c r="H2" s="19"/>
      <c r="I2" s="19"/>
      <c r="J2" s="113"/>
      <c r="K2" s="113"/>
      <c r="L2" s="113"/>
      <c r="M2" s="113"/>
      <c r="N2" s="114"/>
      <c r="O2" s="115"/>
      <c r="P2" s="115"/>
      <c r="Q2" s="115"/>
      <c r="R2" s="115"/>
      <c r="S2" s="115"/>
      <c r="T2" s="116"/>
      <c r="U2" s="116"/>
      <c r="V2" s="116"/>
      <c r="W2" s="116"/>
      <c r="X2" s="116"/>
      <c r="Y2" s="114"/>
      <c r="Z2" s="117"/>
      <c r="AA2" s="116"/>
      <c r="AB2" s="116"/>
      <c r="AC2" s="116"/>
      <c r="AD2" s="116"/>
      <c r="AE2" s="19"/>
      <c r="AF2" s="116"/>
      <c r="AG2" s="118"/>
      <c r="AH2" s="116"/>
      <c r="AI2" s="116"/>
      <c r="AJ2" s="116"/>
      <c r="AK2" s="116"/>
      <c r="AL2" s="116"/>
      <c r="AM2" s="119"/>
      <c r="AN2" s="119"/>
      <c r="AO2" s="119"/>
    </row>
    <row r="3" spans="1:84" s="1" customFormat="1" ht="13.8">
      <c r="A3" s="19"/>
      <c r="B3" s="19"/>
      <c r="C3" s="19"/>
      <c r="D3" s="19"/>
      <c r="E3" s="19"/>
      <c r="F3" s="19"/>
      <c r="G3" s="19"/>
      <c r="H3" s="19"/>
      <c r="I3" s="19"/>
      <c r="J3" s="113"/>
      <c r="K3" s="113"/>
      <c r="L3" s="113"/>
      <c r="M3" s="113"/>
      <c r="N3" s="114"/>
      <c r="O3" s="115"/>
      <c r="P3" s="115"/>
      <c r="Q3" s="115"/>
      <c r="R3" s="115"/>
      <c r="S3" s="115"/>
      <c r="T3" s="116"/>
      <c r="U3" s="116"/>
      <c r="V3" s="116"/>
      <c r="W3" s="116"/>
      <c r="X3" s="116"/>
      <c r="Y3" s="114"/>
      <c r="Z3" s="117"/>
      <c r="AA3" s="116"/>
      <c r="AB3" s="116"/>
      <c r="AC3" s="116"/>
      <c r="AD3" s="116"/>
      <c r="AE3" s="19"/>
      <c r="AF3" s="116"/>
      <c r="AG3" s="118"/>
      <c r="AH3" s="116"/>
      <c r="AI3" s="116"/>
      <c r="AJ3" s="116"/>
      <c r="AK3" s="116"/>
      <c r="AL3" s="116"/>
      <c r="AM3" s="119"/>
      <c r="AN3" s="119"/>
      <c r="AO3" s="119"/>
    </row>
    <row r="4" spans="1:84" s="30" customFormat="1" ht="30" customHeight="1">
      <c r="A4" s="121" t="s">
        <v>6</v>
      </c>
      <c r="B4" s="122"/>
      <c r="C4" s="122"/>
      <c r="D4" s="122"/>
      <c r="E4" s="122"/>
      <c r="F4" s="122"/>
      <c r="G4" s="122"/>
      <c r="H4" s="122"/>
      <c r="I4" s="123"/>
      <c r="J4" s="124" t="s">
        <v>7</v>
      </c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6"/>
      <c r="Y4" s="127" t="s">
        <v>8</v>
      </c>
      <c r="Z4" s="128"/>
      <c r="AA4" s="128"/>
      <c r="AB4" s="128"/>
      <c r="AC4" s="128"/>
      <c r="AD4" s="128"/>
      <c r="AE4" s="128"/>
      <c r="AF4" s="128"/>
      <c r="AG4" s="128"/>
      <c r="AH4" s="129"/>
      <c r="AI4" s="28" t="s">
        <v>9</v>
      </c>
      <c r="AJ4" s="28"/>
      <c r="AK4" s="28" t="s">
        <v>10</v>
      </c>
      <c r="AL4" s="29"/>
      <c r="AM4" s="119"/>
      <c r="AN4" s="119"/>
      <c r="AO4" s="119"/>
    </row>
    <row r="5" spans="1:84" s="7" customFormat="1" ht="51" customHeight="1">
      <c r="A5" s="63" t="s">
        <v>11</v>
      </c>
      <c r="B5" s="63" t="s">
        <v>12</v>
      </c>
      <c r="C5" s="63" t="s">
        <v>13</v>
      </c>
      <c r="D5" s="63" t="s">
        <v>14</v>
      </c>
      <c r="E5" s="63" t="s">
        <v>15</v>
      </c>
      <c r="F5" s="64" t="s">
        <v>16</v>
      </c>
      <c r="G5" s="63" t="s">
        <v>17</v>
      </c>
      <c r="H5" s="65" t="s">
        <v>18</v>
      </c>
      <c r="I5" s="65" t="s">
        <v>19</v>
      </c>
      <c r="J5" s="66" t="s">
        <v>20</v>
      </c>
      <c r="K5" s="66" t="s">
        <v>21</v>
      </c>
      <c r="L5" s="66" t="s">
        <v>22</v>
      </c>
      <c r="M5" s="80" t="s">
        <v>75</v>
      </c>
      <c r="N5" s="81" t="s">
        <v>23</v>
      </c>
      <c r="O5" s="67" t="s">
        <v>24</v>
      </c>
      <c r="P5" s="68" t="s">
        <v>25</v>
      </c>
      <c r="Q5" s="69" t="s">
        <v>69</v>
      </c>
      <c r="R5" s="70" t="s">
        <v>26</v>
      </c>
      <c r="S5" s="64" t="s">
        <v>27</v>
      </c>
      <c r="T5" s="82" t="s">
        <v>70</v>
      </c>
      <c r="U5" s="66" t="s">
        <v>76</v>
      </c>
      <c r="V5" s="66" t="s">
        <v>71</v>
      </c>
      <c r="W5" s="71" t="s">
        <v>72</v>
      </c>
      <c r="X5" s="72" t="s">
        <v>28</v>
      </c>
      <c r="Y5" s="73" t="s">
        <v>29</v>
      </c>
      <c r="Z5" s="66" t="s">
        <v>30</v>
      </c>
      <c r="AA5" s="66" t="s">
        <v>31</v>
      </c>
      <c r="AB5" s="66" t="s">
        <v>32</v>
      </c>
      <c r="AC5" s="66" t="s">
        <v>33</v>
      </c>
      <c r="AD5" s="74" t="s">
        <v>34</v>
      </c>
      <c r="AE5" s="66" t="s">
        <v>73</v>
      </c>
      <c r="AF5" s="75" t="s">
        <v>35</v>
      </c>
      <c r="AG5" s="66" t="s">
        <v>74</v>
      </c>
      <c r="AH5" s="72" t="s">
        <v>36</v>
      </c>
      <c r="AI5" s="76" t="s">
        <v>37</v>
      </c>
      <c r="AJ5" s="76" t="s">
        <v>38</v>
      </c>
      <c r="AK5" s="77" t="s">
        <v>39</v>
      </c>
      <c r="AL5" s="76" t="s">
        <v>40</v>
      </c>
    </row>
    <row r="6" spans="1:84" s="34" customFormat="1" ht="12.9">
      <c r="A6" s="112" t="s">
        <v>105</v>
      </c>
      <c r="B6" s="97" t="s">
        <v>77</v>
      </c>
      <c r="C6" s="97" t="s">
        <v>92</v>
      </c>
      <c r="D6" s="97" t="s">
        <v>78</v>
      </c>
      <c r="E6" s="97" t="s">
        <v>79</v>
      </c>
      <c r="F6" s="101" t="s">
        <v>80</v>
      </c>
      <c r="G6" s="101" t="s">
        <v>81</v>
      </c>
      <c r="H6" s="101" t="s">
        <v>93</v>
      </c>
      <c r="I6" s="101" t="s">
        <v>82</v>
      </c>
      <c r="J6" s="102">
        <v>200</v>
      </c>
      <c r="K6" s="103"/>
      <c r="L6" s="104">
        <v>66</v>
      </c>
      <c r="M6" s="104">
        <v>200</v>
      </c>
      <c r="N6" s="105">
        <v>50</v>
      </c>
      <c r="O6" s="106">
        <v>111.5</v>
      </c>
      <c r="P6" s="106">
        <v>0</v>
      </c>
      <c r="Q6" s="106">
        <v>0</v>
      </c>
      <c r="R6" s="106">
        <v>42</v>
      </c>
      <c r="S6" s="106">
        <v>153.5</v>
      </c>
      <c r="T6" s="104">
        <v>22300</v>
      </c>
      <c r="U6" s="104">
        <v>16800</v>
      </c>
      <c r="V6" s="104">
        <v>7675</v>
      </c>
      <c r="W6" s="104">
        <v>0</v>
      </c>
      <c r="X6" s="104">
        <v>46775</v>
      </c>
      <c r="Y6" s="97" t="s">
        <v>103</v>
      </c>
      <c r="Z6" s="105">
        <v>45800</v>
      </c>
      <c r="AA6" s="104">
        <v>1145</v>
      </c>
      <c r="AB6" s="104">
        <v>50600</v>
      </c>
      <c r="AC6" s="104">
        <v>1570</v>
      </c>
      <c r="AD6" s="107">
        <v>1</v>
      </c>
      <c r="AE6" s="105">
        <v>0</v>
      </c>
      <c r="AF6" s="107">
        <v>-81</v>
      </c>
      <c r="AG6" s="104">
        <v>0</v>
      </c>
      <c r="AH6" s="104">
        <v>2715</v>
      </c>
      <c r="AI6" s="104">
        <v>44060</v>
      </c>
      <c r="AJ6" s="104">
        <v>0</v>
      </c>
      <c r="AK6" s="104">
        <v>44060</v>
      </c>
      <c r="AL6" s="104">
        <v>3036</v>
      </c>
      <c r="AN6" s="92"/>
      <c r="AO6" s="32"/>
      <c r="AQ6" s="91"/>
      <c r="AR6" s="93"/>
      <c r="BD6" s="92"/>
      <c r="BE6" s="92"/>
      <c r="BF6" s="92"/>
      <c r="BJ6" s="92"/>
      <c r="BK6" s="92"/>
      <c r="BP6" s="92"/>
      <c r="BT6" s="34" t="s">
        <v>98</v>
      </c>
      <c r="BV6" s="34">
        <v>0</v>
      </c>
      <c r="BX6" s="34" t="s">
        <v>99</v>
      </c>
      <c r="BZ6" s="34">
        <v>57</v>
      </c>
      <c r="CA6" s="95"/>
      <c r="CB6" s="34" t="s">
        <v>97</v>
      </c>
      <c r="CC6" s="95">
        <v>49930</v>
      </c>
      <c r="CD6" s="95">
        <v>20189.3</v>
      </c>
      <c r="CE6" s="95"/>
      <c r="CF6" s="34" t="s">
        <v>97</v>
      </c>
    </row>
    <row r="7" spans="1:84" s="34" customFormat="1" ht="12.9">
      <c r="A7" s="84"/>
      <c r="B7" s="7"/>
      <c r="C7" s="7"/>
      <c r="D7" s="7"/>
      <c r="E7" s="7"/>
      <c r="F7" s="31"/>
      <c r="G7" s="31"/>
      <c r="H7" s="31"/>
      <c r="I7" s="31"/>
      <c r="J7" s="98"/>
      <c r="K7" s="99"/>
      <c r="L7" s="32"/>
      <c r="M7" s="32"/>
      <c r="N7" s="33"/>
      <c r="O7" s="83"/>
      <c r="P7" s="83"/>
      <c r="Q7" s="83"/>
      <c r="R7" s="83"/>
      <c r="S7" s="83"/>
      <c r="T7" s="32"/>
      <c r="U7" s="32"/>
      <c r="V7" s="32"/>
      <c r="W7" s="32"/>
      <c r="X7" s="32"/>
      <c r="Y7" s="100"/>
      <c r="Z7" s="33"/>
      <c r="AA7" s="32"/>
      <c r="AB7" s="32"/>
      <c r="AC7" s="32"/>
      <c r="AD7" s="91"/>
      <c r="AE7" s="33"/>
      <c r="AF7" s="91"/>
      <c r="AG7" s="32"/>
      <c r="AH7" s="32"/>
      <c r="AI7" s="32"/>
      <c r="AJ7" s="32"/>
      <c r="AK7" s="32"/>
      <c r="AL7" s="32"/>
      <c r="AN7" s="92"/>
      <c r="AO7" s="32"/>
      <c r="AQ7" s="91"/>
      <c r="AR7" s="93"/>
      <c r="AS7" s="32"/>
      <c r="AT7" s="94"/>
      <c r="AU7" s="94"/>
      <c r="AV7" s="94"/>
      <c r="AW7" s="94"/>
      <c r="BD7" s="92"/>
      <c r="BE7" s="92"/>
      <c r="BF7" s="92"/>
      <c r="BG7" s="96"/>
      <c r="BJ7" s="92"/>
      <c r="BK7" s="92"/>
      <c r="BP7" s="92"/>
      <c r="CA7" s="95"/>
      <c r="CC7" s="95"/>
      <c r="CD7" s="95"/>
      <c r="CE7" s="95"/>
    </row>
    <row r="8" spans="1:84" s="34" customFormat="1" ht="12.9">
      <c r="A8" s="84"/>
      <c r="B8" s="7"/>
      <c r="C8" s="7"/>
      <c r="D8" s="7"/>
      <c r="E8" s="7"/>
      <c r="F8" s="31"/>
      <c r="G8" s="31"/>
      <c r="H8" s="31"/>
      <c r="I8" s="31"/>
      <c r="J8" s="98"/>
      <c r="K8" s="99"/>
      <c r="L8" s="32"/>
      <c r="M8" s="32"/>
      <c r="N8" s="33"/>
      <c r="O8" s="83"/>
      <c r="P8" s="83"/>
      <c r="Q8" s="83"/>
      <c r="R8" s="83"/>
      <c r="S8" s="83"/>
      <c r="T8" s="32"/>
      <c r="U8" s="32"/>
      <c r="V8" s="32"/>
      <c r="W8" s="32"/>
      <c r="X8" s="32"/>
      <c r="Y8" s="100"/>
      <c r="Z8" s="33"/>
      <c r="AA8" s="32"/>
      <c r="AB8" s="32"/>
      <c r="AC8" s="32"/>
      <c r="AD8" s="91"/>
      <c r="AE8" s="33"/>
      <c r="AF8" s="91"/>
      <c r="AG8" s="32"/>
      <c r="AH8" s="32"/>
      <c r="AI8" s="32"/>
      <c r="AJ8" s="32"/>
      <c r="AK8" s="32"/>
      <c r="AL8" s="32"/>
      <c r="AN8" s="92"/>
      <c r="AO8" s="32"/>
      <c r="AQ8" s="91"/>
      <c r="AR8" s="93"/>
      <c r="AS8" s="32"/>
      <c r="AT8" s="94"/>
      <c r="AU8" s="94"/>
      <c r="AV8" s="94"/>
      <c r="AW8" s="94"/>
      <c r="BD8" s="92"/>
      <c r="BE8" s="92"/>
      <c r="BF8" s="92"/>
      <c r="BG8" s="96"/>
      <c r="BJ8" s="92"/>
      <c r="BK8" s="92"/>
      <c r="BP8" s="92"/>
      <c r="CA8" s="95"/>
      <c r="CC8" s="95"/>
      <c r="CD8" s="95"/>
      <c r="CE8" s="95"/>
    </row>
  </sheetData>
  <sheetProtection selectLockedCells="1" selectUnlockedCells="1"/>
  <mergeCells count="4">
    <mergeCell ref="A2:B2"/>
    <mergeCell ref="A4:I4"/>
    <mergeCell ref="J4:X4"/>
    <mergeCell ref="Y4:AH4"/>
  </mergeCells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0689-9384-4287-BA99-F4EA6E9D2043}">
  <sheetPr codeName="工作表5">
    <tabColor theme="6" tint="0.79998168889431442"/>
  </sheetPr>
  <dimension ref="A1:AP21"/>
  <sheetViews>
    <sheetView tabSelected="1" zoomScale="67" zoomScaleNormal="67" workbookViewId="0">
      <pane xSplit="6" topLeftCell="G1" activePane="topRight" state="frozen"/>
      <selection activeCell="A42" sqref="A42"/>
      <selection pane="topRight" activeCell="E8" sqref="E8"/>
    </sheetView>
  </sheetViews>
  <sheetFormatPr defaultColWidth="9.7890625" defaultRowHeight="16.5"/>
  <cols>
    <col min="1" max="1" width="14.20703125" style="6" customWidth="1"/>
    <col min="2" max="2" width="34.3125" style="6" customWidth="1"/>
    <col min="3" max="3" width="19" style="8" customWidth="1"/>
    <col min="4" max="4" width="13.1015625" style="8" customWidth="1"/>
    <col min="5" max="5" width="12.41796875" style="9" customWidth="1"/>
    <col min="6" max="6" width="16" style="8" customWidth="1"/>
    <col min="7" max="9" width="10.7890625" style="8" customWidth="1"/>
    <col min="10" max="11" width="10.7890625" style="6" customWidth="1"/>
    <col min="12" max="12" width="10.7890625" style="7" customWidth="1"/>
    <col min="13" max="15" width="10.7890625" style="6" customWidth="1"/>
    <col min="16" max="16" width="10.7890625" style="8" customWidth="1"/>
    <col min="17" max="18" width="10.7890625" style="6" customWidth="1"/>
    <col min="19" max="19" width="10.7890625" style="15" customWidth="1"/>
    <col min="20" max="21" width="10.7890625" style="6" customWidth="1"/>
    <col min="22" max="22" width="10.7890625" style="16" customWidth="1"/>
    <col min="23" max="50" width="10.7890625" style="6" customWidth="1"/>
    <col min="51" max="16384" width="9.7890625" style="6"/>
  </cols>
  <sheetData>
    <row r="1" spans="1:42" s="1" customFormat="1" ht="13.8">
      <c r="A1" s="11"/>
      <c r="D1" s="2"/>
      <c r="E1" s="3"/>
      <c r="F1" s="2"/>
      <c r="G1" s="2"/>
      <c r="H1" s="2"/>
      <c r="I1" s="12"/>
      <c r="J1" s="3"/>
      <c r="K1" s="3"/>
      <c r="L1" s="19"/>
      <c r="M1" s="13"/>
      <c r="N1" s="13"/>
      <c r="O1" s="13"/>
      <c r="P1" s="4"/>
      <c r="Q1" s="13"/>
      <c r="R1" s="13"/>
      <c r="S1" s="10"/>
      <c r="T1" s="5"/>
      <c r="V1" s="14"/>
    </row>
    <row r="2" spans="1:42">
      <c r="A2" s="8"/>
      <c r="C2" s="6"/>
      <c r="D2" s="15"/>
      <c r="E2" s="6"/>
      <c r="F2" s="6"/>
      <c r="G2" s="16"/>
      <c r="H2" s="6"/>
      <c r="I2" s="6"/>
      <c r="L2" s="6"/>
      <c r="P2" s="6"/>
      <c r="S2" s="6"/>
      <c r="V2" s="6"/>
    </row>
    <row r="3" spans="1:42">
      <c r="A3" s="8"/>
      <c r="C3" s="6"/>
      <c r="D3" s="15"/>
      <c r="E3" s="6"/>
      <c r="F3" s="6"/>
      <c r="G3" s="16"/>
      <c r="H3" s="6"/>
      <c r="I3" s="6"/>
      <c r="L3" s="6"/>
      <c r="P3" s="6"/>
      <c r="S3" s="6"/>
      <c r="V3" s="6"/>
    </row>
    <row r="4" spans="1:42">
      <c r="A4" s="8"/>
      <c r="C4" s="6"/>
      <c r="D4" s="15"/>
      <c r="E4" s="6"/>
      <c r="F4" s="6"/>
      <c r="G4" s="16"/>
      <c r="H4" s="6"/>
      <c r="I4" s="6"/>
      <c r="L4" s="6"/>
      <c r="P4" s="6"/>
      <c r="S4" s="6"/>
      <c r="V4" s="6"/>
    </row>
    <row r="5" spans="1:42" s="17" customFormat="1" ht="15.3"/>
    <row r="6" spans="1:42" s="18" customFormat="1" ht="12.9"/>
    <row r="11" spans="1:42">
      <c r="A11" s="6" t="s">
        <v>106</v>
      </c>
    </row>
    <row r="12" spans="1:42" ht="19.5">
      <c r="A12" s="137" t="s">
        <v>100</v>
      </c>
      <c r="B12" s="131"/>
      <c r="C12" s="131"/>
      <c r="D12" s="131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9"/>
      <c r="Z12" s="139"/>
      <c r="AA12" s="139"/>
      <c r="AB12" s="139"/>
      <c r="AC12" s="139"/>
      <c r="AD12" s="139"/>
      <c r="AE12" s="139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</row>
    <row r="13" spans="1:42" ht="46.5">
      <c r="A13" s="140" t="s">
        <v>80</v>
      </c>
      <c r="B13" s="141"/>
      <c r="C13" s="142"/>
      <c r="D13" s="143"/>
      <c r="E13" s="20" t="s">
        <v>83</v>
      </c>
      <c r="F13" s="21">
        <v>2420</v>
      </c>
      <c r="G13" s="109" t="s">
        <v>101</v>
      </c>
      <c r="H13" s="109" t="s">
        <v>84</v>
      </c>
      <c r="I13" s="109" t="s">
        <v>96</v>
      </c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</row>
    <row r="14" spans="1:42">
      <c r="A14" s="22" t="s">
        <v>0</v>
      </c>
      <c r="B14" s="22" t="s">
        <v>1</v>
      </c>
      <c r="C14" s="22" t="s">
        <v>2</v>
      </c>
      <c r="D14" s="22" t="s">
        <v>3</v>
      </c>
      <c r="E14" s="22" t="s">
        <v>4</v>
      </c>
      <c r="F14" s="22" t="s">
        <v>5</v>
      </c>
      <c r="G14" s="110" t="s">
        <v>4</v>
      </c>
      <c r="H14" s="110" t="s">
        <v>4</v>
      </c>
      <c r="I14" s="110" t="s">
        <v>4</v>
      </c>
      <c r="J14" s="110" t="s">
        <v>4</v>
      </c>
      <c r="K14" s="110" t="s">
        <v>4</v>
      </c>
      <c r="L14" s="110" t="s">
        <v>4</v>
      </c>
      <c r="M14" s="110" t="s">
        <v>4</v>
      </c>
      <c r="N14" s="110" t="s">
        <v>4</v>
      </c>
      <c r="O14" s="110" t="s">
        <v>4</v>
      </c>
      <c r="P14" s="110" t="s">
        <v>4</v>
      </c>
      <c r="Q14" s="110" t="s">
        <v>4</v>
      </c>
      <c r="R14" s="110" t="s">
        <v>4</v>
      </c>
      <c r="S14" s="110" t="s">
        <v>4</v>
      </c>
      <c r="T14" s="110" t="s">
        <v>4</v>
      </c>
      <c r="U14" s="110" t="s">
        <v>4</v>
      </c>
      <c r="V14" s="110" t="s">
        <v>4</v>
      </c>
      <c r="W14" s="110" t="s">
        <v>4</v>
      </c>
      <c r="X14" s="110" t="s">
        <v>4</v>
      </c>
      <c r="Y14" s="110" t="s">
        <v>4</v>
      </c>
      <c r="Z14" s="110" t="s">
        <v>4</v>
      </c>
      <c r="AA14" s="110" t="s">
        <v>4</v>
      </c>
      <c r="AB14" s="110" t="s">
        <v>4</v>
      </c>
      <c r="AC14" s="110" t="s">
        <v>4</v>
      </c>
      <c r="AD14" s="110" t="s">
        <v>4</v>
      </c>
      <c r="AE14" s="110" t="s">
        <v>4</v>
      </c>
      <c r="AF14" s="110" t="s">
        <v>4</v>
      </c>
      <c r="AG14" s="110" t="s">
        <v>4</v>
      </c>
      <c r="AH14" s="110" t="s">
        <v>4</v>
      </c>
      <c r="AI14" s="110" t="s">
        <v>4</v>
      </c>
      <c r="AJ14" s="110" t="s">
        <v>4</v>
      </c>
      <c r="AK14" s="110" t="s">
        <v>4</v>
      </c>
      <c r="AL14" s="110" t="s">
        <v>4</v>
      </c>
      <c r="AM14" s="110" t="s">
        <v>4</v>
      </c>
      <c r="AN14" s="110" t="s">
        <v>4</v>
      </c>
      <c r="AO14" s="110" t="s">
        <v>4</v>
      </c>
      <c r="AP14" s="110" t="s">
        <v>4</v>
      </c>
    </row>
    <row r="15" spans="1:42">
      <c r="A15" s="23" t="s">
        <v>85</v>
      </c>
      <c r="B15" s="23" t="s">
        <v>86</v>
      </c>
      <c r="C15" s="23" t="s">
        <v>87</v>
      </c>
      <c r="D15" s="24">
        <v>60</v>
      </c>
      <c r="E15" s="25">
        <v>22</v>
      </c>
      <c r="F15" s="26">
        <v>1320</v>
      </c>
      <c r="G15" s="111"/>
      <c r="H15" s="111"/>
      <c r="I15" s="111">
        <v>22</v>
      </c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</row>
    <row r="16" spans="1:42">
      <c r="A16" s="23" t="s">
        <v>85</v>
      </c>
      <c r="B16" s="23" t="s">
        <v>88</v>
      </c>
      <c r="C16" s="23" t="s">
        <v>89</v>
      </c>
      <c r="D16" s="24">
        <v>0</v>
      </c>
      <c r="E16" s="25">
        <v>5</v>
      </c>
      <c r="F16" s="26">
        <v>0</v>
      </c>
      <c r="G16" s="111">
        <v>1</v>
      </c>
      <c r="H16" s="111">
        <v>3</v>
      </c>
      <c r="I16" s="111">
        <v>1</v>
      </c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</row>
    <row r="17" spans="1:42">
      <c r="A17" s="23" t="s">
        <v>85</v>
      </c>
      <c r="B17" s="23" t="s">
        <v>90</v>
      </c>
      <c r="C17" s="23" t="s">
        <v>91</v>
      </c>
      <c r="D17" s="24">
        <v>50</v>
      </c>
      <c r="E17" s="25">
        <v>22</v>
      </c>
      <c r="F17" s="26">
        <v>1100</v>
      </c>
      <c r="G17" s="111"/>
      <c r="H17" s="111"/>
      <c r="I17" s="111">
        <v>22</v>
      </c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</row>
    <row r="18" spans="1:42" ht="19.5">
      <c r="A18" s="137"/>
      <c r="B18" s="131"/>
      <c r="C18" s="131"/>
      <c r="D18" s="131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9"/>
      <c r="Z18" s="139"/>
      <c r="AA18" s="139"/>
      <c r="AB18" s="139"/>
      <c r="AC18" s="139"/>
      <c r="AD18" s="139"/>
      <c r="AE18" s="139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</row>
    <row r="19" spans="1:42" ht="18.3">
      <c r="A19" s="85" t="s">
        <v>102</v>
      </c>
      <c r="B19" s="85"/>
      <c r="C19" s="86" t="e">
        <f>#REF!</f>
        <v>#REF!</v>
      </c>
    </row>
    <row r="20" spans="1:42" ht="18.3">
      <c r="A20" s="90" t="e">
        <f>SUM(C19:C21)</f>
        <v>#REF!</v>
      </c>
      <c r="B20" s="85"/>
      <c r="C20" s="86" t="e">
        <f>#REF!</f>
        <v>#REF!</v>
      </c>
    </row>
    <row r="21" spans="1:42" ht="18.3">
      <c r="A21" s="85"/>
      <c r="B21" s="85"/>
      <c r="C21" s="86">
        <f>F13</f>
        <v>2420</v>
      </c>
    </row>
  </sheetData>
  <mergeCells count="3">
    <mergeCell ref="A12:AE12"/>
    <mergeCell ref="A13:D13"/>
    <mergeCell ref="A18:AE18"/>
  </mergeCells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B691-1B08-4977-B5C2-9DA5A5D1C4F1}">
  <sheetPr codeName="工作表3"/>
  <dimension ref="A3:C28"/>
  <sheetViews>
    <sheetView showGridLines="0" zoomScale="85" zoomScaleNormal="85" workbookViewId="0">
      <selection activeCell="A5" sqref="A5:C5"/>
    </sheetView>
  </sheetViews>
  <sheetFormatPr defaultRowHeight="16.5"/>
  <cols>
    <col min="1" max="1" width="22.5234375" style="35" customWidth="1"/>
    <col min="2" max="2" width="30.68359375" customWidth="1"/>
    <col min="3" max="3" width="22.7890625" style="35" customWidth="1"/>
  </cols>
  <sheetData>
    <row r="3" spans="1:3" ht="10.8" customHeight="1"/>
    <row r="4" spans="1:3" ht="20.399999999999999" customHeight="1" thickBot="1">
      <c r="A4" s="130"/>
      <c r="B4" s="131"/>
      <c r="C4" s="131"/>
    </row>
    <row r="5" spans="1:3" ht="19.2" customHeight="1">
      <c r="A5" s="87"/>
      <c r="B5" s="88"/>
      <c r="C5" s="89"/>
    </row>
    <row r="6" spans="1:3">
      <c r="A6" s="132" t="s">
        <v>41</v>
      </c>
      <c r="B6" s="36" t="s">
        <v>67</v>
      </c>
      <c r="C6" s="50">
        <v>200</v>
      </c>
    </row>
    <row r="7" spans="1:3" ht="18.600000000000001" hidden="1" customHeight="1">
      <c r="A7" s="133"/>
      <c r="B7" s="36" t="s">
        <v>42</v>
      </c>
      <c r="C7" s="78"/>
    </row>
    <row r="8" spans="1:3" ht="18.45" customHeight="1">
      <c r="A8" s="133"/>
      <c r="B8" s="36" t="s">
        <v>43</v>
      </c>
      <c r="C8" s="42"/>
    </row>
    <row r="9" spans="1:3" ht="18.45" customHeight="1">
      <c r="A9" s="133"/>
      <c r="B9" s="36" t="s">
        <v>68</v>
      </c>
      <c r="C9" s="38"/>
    </row>
    <row r="10" spans="1:3" ht="18.45" customHeight="1">
      <c r="A10" s="133"/>
      <c r="B10" s="37" t="s">
        <v>65</v>
      </c>
      <c r="C10" s="38">
        <v>66</v>
      </c>
    </row>
    <row r="11" spans="1:3" ht="18.45" customHeight="1">
      <c r="A11" s="133"/>
      <c r="B11" s="37" t="s">
        <v>44</v>
      </c>
      <c r="C11" s="39"/>
    </row>
    <row r="12" spans="1:3" ht="31.8" customHeight="1">
      <c r="A12" s="133"/>
      <c r="B12" s="40" t="s">
        <v>66</v>
      </c>
      <c r="C12" s="41">
        <v>200</v>
      </c>
    </row>
    <row r="13" spans="1:3" ht="18.45" customHeight="1">
      <c r="A13" s="133"/>
      <c r="B13" s="37" t="s">
        <v>94</v>
      </c>
      <c r="C13" s="42"/>
    </row>
    <row r="14" spans="1:3" ht="18.45" customHeight="1">
      <c r="A14" s="133"/>
      <c r="B14" s="37" t="s">
        <v>64</v>
      </c>
      <c r="C14" s="79"/>
    </row>
    <row r="15" spans="1:3" ht="18.45" customHeight="1">
      <c r="A15" s="133"/>
      <c r="B15" s="36" t="s">
        <v>45</v>
      </c>
      <c r="C15" s="43">
        <v>50</v>
      </c>
    </row>
    <row r="16" spans="1:3" ht="18.45" customHeight="1">
      <c r="A16" s="134"/>
      <c r="B16" s="36" t="s">
        <v>63</v>
      </c>
      <c r="C16" s="43"/>
    </row>
    <row r="17" spans="1:3" ht="18.45" customHeight="1">
      <c r="A17" s="44" t="s">
        <v>46</v>
      </c>
      <c r="B17" s="37" t="s">
        <v>47</v>
      </c>
      <c r="C17" s="43"/>
    </row>
    <row r="18" spans="1:3" ht="18.45" customHeight="1">
      <c r="A18" s="45" t="s">
        <v>48</v>
      </c>
      <c r="B18" s="36" t="s">
        <v>49</v>
      </c>
      <c r="C18" s="46"/>
    </row>
    <row r="19" spans="1:3" ht="18.45" customHeight="1">
      <c r="A19" s="132" t="s">
        <v>50</v>
      </c>
      <c r="B19" s="37"/>
      <c r="C19" s="43"/>
    </row>
    <row r="20" spans="1:3" ht="18.45" customHeight="1">
      <c r="A20" s="133"/>
      <c r="B20" s="37"/>
      <c r="C20" s="43"/>
    </row>
    <row r="21" spans="1:3" ht="18.45" customHeight="1">
      <c r="A21" s="133"/>
      <c r="B21" s="37" t="s">
        <v>62</v>
      </c>
      <c r="C21" s="47"/>
    </row>
    <row r="22" spans="1:3" ht="18.45" customHeight="1">
      <c r="A22" s="134"/>
      <c r="B22" s="37" t="s">
        <v>61</v>
      </c>
      <c r="C22" s="47"/>
    </row>
    <row r="23" spans="1:3" ht="18.45" customHeight="1">
      <c r="A23" s="48" t="s">
        <v>51</v>
      </c>
      <c r="B23" s="49" t="s">
        <v>52</v>
      </c>
      <c r="C23" s="50"/>
    </row>
    <row r="24" spans="1:3" ht="18.45" customHeight="1">
      <c r="A24" s="51" t="s">
        <v>53</v>
      </c>
      <c r="B24" s="37" t="s">
        <v>54</v>
      </c>
      <c r="C24" s="52"/>
    </row>
    <row r="25" spans="1:3" ht="18.45" customHeight="1">
      <c r="A25" s="53" t="s">
        <v>55</v>
      </c>
      <c r="B25" s="54" t="s">
        <v>56</v>
      </c>
      <c r="C25" s="55"/>
    </row>
    <row r="26" spans="1:3" ht="18.45" customHeight="1">
      <c r="A26" s="56" t="s">
        <v>57</v>
      </c>
      <c r="B26" s="57" t="s">
        <v>58</v>
      </c>
      <c r="C26" s="58"/>
    </row>
    <row r="27" spans="1:3" ht="18.45" customHeight="1" thickBot="1">
      <c r="A27" s="59" t="s">
        <v>59</v>
      </c>
      <c r="B27" s="60"/>
      <c r="C27" s="61">
        <f>C25+C26</f>
        <v>0</v>
      </c>
    </row>
    <row r="28" spans="1:3" ht="66.599999999999994" customHeight="1" thickBot="1">
      <c r="A28" s="62" t="s">
        <v>60</v>
      </c>
      <c r="B28" s="135"/>
      <c r="C28" s="136"/>
    </row>
  </sheetData>
  <sheetProtection selectLockedCells="1" selectUnlockedCells="1"/>
  <mergeCells count="4">
    <mergeCell ref="A4:C4"/>
    <mergeCell ref="A6:A16"/>
    <mergeCell ref="A19:A22"/>
    <mergeCell ref="B28:C28"/>
  </mergeCells>
  <phoneticPr fontId="4" type="noConversion"/>
  <printOptions horizontalCentered="1"/>
  <pageMargins left="1.3779527559055118" right="1.1811023622047245" top="0.98425196850393704" bottom="0.98425196850393704" header="0.51181102362204722" footer="0.51181102362204722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114年12月</vt:lpstr>
      <vt:lpstr>總表</vt:lpstr>
      <vt:lpstr>AA碼季獎金</vt:lpstr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Tsai</dc:creator>
  <cp:lastModifiedBy>文靜 蔡</cp:lastModifiedBy>
  <dcterms:created xsi:type="dcterms:W3CDTF">2021-02-25T03:43:04Z</dcterms:created>
  <dcterms:modified xsi:type="dcterms:W3CDTF">2026-02-12T02:13:20Z</dcterms:modified>
</cp:coreProperties>
</file>